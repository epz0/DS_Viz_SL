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\DS_Viz_Exp\data\"/>
    </mc:Choice>
  </mc:AlternateContent>
  <xr:revisionPtr revIDLastSave="0" documentId="8_{44753AD8-84C2-42DD-8417-4BB8D2056ECF}" xr6:coauthVersionLast="47" xr6:coauthVersionMax="47" xr10:uidLastSave="{00000000-0000-0000-0000-000000000000}"/>
  <bookViews>
    <workbookView xWindow="-120" yWindow="-16320" windowWidth="29040" windowHeight="15720" tabRatio="820" firstSheet="20" activeTab="31" xr2:uid="{7D31BC6C-D6AC-41BC-8066-6E4E4C3FCF25}"/>
  </bookViews>
  <sheets>
    <sheet name="dist_PVL1" sheetId="1" r:id="rId1"/>
    <sheet name="PVL1_mtx_c" sheetId="3" r:id="rId2"/>
    <sheet name="PVL1_mtx_c_n" sheetId="6" r:id="rId3"/>
    <sheet name="PVL1_mtx_ed" sheetId="5" r:id="rId4"/>
    <sheet name="PVL1_mtx_ed_n" sheetId="4" r:id="rId5"/>
    <sheet name="dist_PVL2" sheetId="7" r:id="rId6"/>
    <sheet name="PVL2_mtx_c" sheetId="8" r:id="rId7"/>
    <sheet name="PVL2_mtx_c_n" sheetId="9" r:id="rId8"/>
    <sheet name="PVL2_mtx_ed" sheetId="10" r:id="rId9"/>
    <sheet name="PVL2_mtx_ed_n" sheetId="11" r:id="rId10"/>
    <sheet name="dist_PVL3" sheetId="12" r:id="rId11"/>
    <sheet name="PVL3_mtx_c " sheetId="13" r:id="rId12"/>
    <sheet name="PVL3_mtx_c_n" sheetId="14" r:id="rId13"/>
    <sheet name="PVL3_mtx_ed" sheetId="15" r:id="rId14"/>
    <sheet name="PVL3_mtx_ed_n" sheetId="16" r:id="rId15"/>
    <sheet name="dist_PVL4" sheetId="17" r:id="rId16"/>
    <sheet name="PVL4_mtx_c" sheetId="18" r:id="rId17"/>
    <sheet name="PVL4_mtx_c_n" sheetId="19" r:id="rId18"/>
    <sheet name="PVL4_mtx_ed" sheetId="20" r:id="rId19"/>
    <sheet name="PVL4_mtx_ed_n" sheetId="21" r:id="rId20"/>
    <sheet name="dist_PVL5" sheetId="22" r:id="rId21"/>
    <sheet name="PVL5_mtx_c" sheetId="23" r:id="rId22"/>
    <sheet name="PVL5_mtx_c_n" sheetId="24" r:id="rId23"/>
    <sheet name="PVL5_mtx_ed" sheetId="25" r:id="rId24"/>
    <sheet name="PVL5_mtx_ed_n" sheetId="26" r:id="rId25"/>
    <sheet name="ids" sheetId="2" r:id="rId26"/>
    <sheet name="procrustes_PVL1" sheetId="27" r:id="rId27"/>
    <sheet name="procrustes_PLV2" sheetId="28" r:id="rId28"/>
    <sheet name="procrustes_PLV3" sheetId="29" r:id="rId29"/>
    <sheet name="procrustes_PLV4" sheetId="30" r:id="rId30"/>
    <sheet name="procrustes_PLV5" sheetId="31" r:id="rId31"/>
    <sheet name="embed" sheetId="32" r:id="rId3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6" i="22" l="1"/>
  <c r="G45" i="22"/>
  <c r="G44" i="22"/>
  <c r="G43" i="22"/>
  <c r="G42" i="22"/>
  <c r="G41" i="22"/>
  <c r="G40" i="22"/>
  <c r="G39" i="22"/>
  <c r="G38" i="22"/>
  <c r="G37" i="22"/>
  <c r="G36" i="22"/>
  <c r="G35" i="22"/>
  <c r="G34" i="22"/>
  <c r="G33" i="22"/>
  <c r="G32" i="22"/>
  <c r="G31" i="22"/>
  <c r="G30" i="22"/>
  <c r="G29" i="22"/>
  <c r="G28" i="22"/>
  <c r="G27" i="22"/>
  <c r="G26" i="22"/>
  <c r="G25" i="22"/>
  <c r="G24" i="22"/>
  <c r="G23" i="22"/>
  <c r="G22" i="22"/>
  <c r="G21" i="22"/>
  <c r="G20" i="22"/>
  <c r="G19" i="22"/>
  <c r="G18" i="22"/>
  <c r="G17" i="22"/>
  <c r="G16" i="22"/>
  <c r="G15" i="22"/>
  <c r="G14" i="22"/>
  <c r="G13" i="22"/>
  <c r="G12" i="22"/>
  <c r="G11" i="22"/>
  <c r="G10" i="22"/>
  <c r="G9" i="22"/>
  <c r="G8" i="22"/>
  <c r="G7" i="22"/>
  <c r="G6" i="22"/>
  <c r="G5" i="22"/>
  <c r="G4" i="22"/>
  <c r="G3" i="22"/>
  <c r="G2" i="22"/>
  <c r="G46" i="17"/>
  <c r="G45" i="17"/>
  <c r="G44" i="17"/>
  <c r="G43" i="17"/>
  <c r="G42" i="17"/>
  <c r="G41" i="17"/>
  <c r="G40" i="17"/>
  <c r="G39" i="17"/>
  <c r="G38" i="17"/>
  <c r="G37" i="17"/>
  <c r="G36" i="17"/>
  <c r="G35" i="17"/>
  <c r="G34" i="17"/>
  <c r="G33" i="17"/>
  <c r="G32" i="17"/>
  <c r="G31" i="17"/>
  <c r="G30" i="17"/>
  <c r="G29" i="17"/>
  <c r="G28" i="17"/>
  <c r="G27" i="17"/>
  <c r="G26" i="17"/>
  <c r="G25" i="17"/>
  <c r="G24" i="17"/>
  <c r="G23" i="17"/>
  <c r="G22" i="17"/>
  <c r="G21" i="17"/>
  <c r="G20" i="17"/>
  <c r="G19" i="17"/>
  <c r="G18" i="17"/>
  <c r="G17" i="17"/>
  <c r="G16" i="17"/>
  <c r="G15" i="17"/>
  <c r="G14" i="17"/>
  <c r="G13" i="17"/>
  <c r="G12" i="17"/>
  <c r="G11" i="17"/>
  <c r="G10" i="17"/>
  <c r="G9" i="17"/>
  <c r="G8" i="17"/>
  <c r="G7" i="17"/>
  <c r="G6" i="17"/>
  <c r="G5" i="17"/>
  <c r="G4" i="17"/>
  <c r="G3" i="17"/>
  <c r="G2" i="17"/>
  <c r="G46" i="12"/>
  <c r="G45" i="12"/>
  <c r="G44" i="12"/>
  <c r="G43" i="12"/>
  <c r="G42" i="12"/>
  <c r="G41" i="12"/>
  <c r="G40" i="12"/>
  <c r="G39" i="12"/>
  <c r="G38" i="12"/>
  <c r="G37" i="12"/>
  <c r="G36" i="12"/>
  <c r="G35" i="12"/>
  <c r="G34" i="12"/>
  <c r="G33" i="12"/>
  <c r="G32" i="12"/>
  <c r="G31" i="12"/>
  <c r="G30" i="12"/>
  <c r="G29" i="12"/>
  <c r="G28" i="12"/>
  <c r="G27" i="12"/>
  <c r="G26" i="12"/>
  <c r="G25" i="12"/>
  <c r="G24" i="12"/>
  <c r="G23" i="12"/>
  <c r="G22" i="12"/>
  <c r="G21" i="12"/>
  <c r="G20" i="12"/>
  <c r="G19" i="12"/>
  <c r="G18" i="12"/>
  <c r="G17" i="12"/>
  <c r="G16" i="12"/>
  <c r="G15" i="12"/>
  <c r="G14" i="12"/>
  <c r="G13" i="12"/>
  <c r="G12" i="12"/>
  <c r="G11" i="12"/>
  <c r="G10" i="12"/>
  <c r="G9" i="12"/>
  <c r="G8" i="12"/>
  <c r="G7" i="12"/>
  <c r="G6" i="12"/>
  <c r="G5" i="12"/>
  <c r="G4" i="12"/>
  <c r="G3" i="12"/>
  <c r="G2" i="12"/>
  <c r="G46" i="7"/>
  <c r="G45" i="7"/>
  <c r="G44" i="7"/>
  <c r="G43" i="7"/>
  <c r="G42" i="7"/>
  <c r="G41" i="7"/>
  <c r="G40" i="7"/>
  <c r="G39" i="7"/>
  <c r="G38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G5" i="7"/>
  <c r="G4" i="7"/>
  <c r="G3" i="7"/>
  <c r="G2" i="7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2" i="1"/>
  <c r="E19" i="22"/>
  <c r="E25" i="22"/>
  <c r="K11" i="25"/>
  <c r="J11" i="25"/>
  <c r="I11" i="25"/>
  <c r="H11" i="25"/>
  <c r="G11" i="25"/>
  <c r="F11" i="25"/>
  <c r="E11" i="25"/>
  <c r="D11" i="25"/>
  <c r="C11" i="25"/>
  <c r="B11" i="25"/>
  <c r="K10" i="25"/>
  <c r="J10" i="25"/>
  <c r="I10" i="25"/>
  <c r="H10" i="25"/>
  <c r="G10" i="25"/>
  <c r="F10" i="25"/>
  <c r="E10" i="25"/>
  <c r="D10" i="25"/>
  <c r="C10" i="25"/>
  <c r="B10" i="25"/>
  <c r="K9" i="25"/>
  <c r="J9" i="25"/>
  <c r="I9" i="25"/>
  <c r="H9" i="25"/>
  <c r="G9" i="25"/>
  <c r="F9" i="25"/>
  <c r="E9" i="25"/>
  <c r="D9" i="25"/>
  <c r="C9" i="25"/>
  <c r="B9" i="25"/>
  <c r="K8" i="25"/>
  <c r="J8" i="25"/>
  <c r="I8" i="25"/>
  <c r="H8" i="25"/>
  <c r="G8" i="25"/>
  <c r="F8" i="25"/>
  <c r="E8" i="25"/>
  <c r="D8" i="25"/>
  <c r="C8" i="25"/>
  <c r="B8" i="25"/>
  <c r="K7" i="25"/>
  <c r="J7" i="25"/>
  <c r="I7" i="25"/>
  <c r="H7" i="25"/>
  <c r="G7" i="25"/>
  <c r="F7" i="25"/>
  <c r="E7" i="25"/>
  <c r="D7" i="25"/>
  <c r="C7" i="25"/>
  <c r="B7" i="25"/>
  <c r="K6" i="25"/>
  <c r="J6" i="25"/>
  <c r="I6" i="25"/>
  <c r="H6" i="25"/>
  <c r="G6" i="25"/>
  <c r="F6" i="25"/>
  <c r="E6" i="25"/>
  <c r="D6" i="25"/>
  <c r="C6" i="25"/>
  <c r="B6" i="25"/>
  <c r="K5" i="25"/>
  <c r="J5" i="25"/>
  <c r="I5" i="25"/>
  <c r="H5" i="25"/>
  <c r="G5" i="25"/>
  <c r="F5" i="25"/>
  <c r="E5" i="25"/>
  <c r="D5" i="25"/>
  <c r="C5" i="25"/>
  <c r="B5" i="25"/>
  <c r="K4" i="25"/>
  <c r="J4" i="25"/>
  <c r="I4" i="25"/>
  <c r="H4" i="25"/>
  <c r="G4" i="25"/>
  <c r="F4" i="25"/>
  <c r="E4" i="25"/>
  <c r="D4" i="25"/>
  <c r="C4" i="25"/>
  <c r="B4" i="25"/>
  <c r="K3" i="25"/>
  <c r="J3" i="25"/>
  <c r="I3" i="25"/>
  <c r="H3" i="25"/>
  <c r="G3" i="25"/>
  <c r="F3" i="25"/>
  <c r="E3" i="25"/>
  <c r="D3" i="25"/>
  <c r="C3" i="25"/>
  <c r="B3" i="25"/>
  <c r="K2" i="25"/>
  <c r="J2" i="25"/>
  <c r="I2" i="25"/>
  <c r="H2" i="25"/>
  <c r="G2" i="25"/>
  <c r="F2" i="25"/>
  <c r="E2" i="25"/>
  <c r="D2" i="25"/>
  <c r="C2" i="25"/>
  <c r="B2" i="25"/>
  <c r="M3" i="23"/>
  <c r="V8" i="23" s="1"/>
  <c r="E46" i="22"/>
  <c r="E45" i="22"/>
  <c r="E44" i="22"/>
  <c r="E43" i="22"/>
  <c r="E42" i="22"/>
  <c r="E41" i="22"/>
  <c r="E40" i="22"/>
  <c r="E39" i="22"/>
  <c r="E38" i="22"/>
  <c r="E37" i="22"/>
  <c r="E36" i="22"/>
  <c r="E35" i="22"/>
  <c r="E34" i="22"/>
  <c r="E33" i="22"/>
  <c r="E32" i="22"/>
  <c r="E31" i="22"/>
  <c r="E30" i="22"/>
  <c r="E29" i="22"/>
  <c r="E28" i="22"/>
  <c r="E27" i="22"/>
  <c r="E26" i="22"/>
  <c r="E24" i="22"/>
  <c r="E23" i="22"/>
  <c r="E22" i="22"/>
  <c r="E21" i="22"/>
  <c r="E20" i="22"/>
  <c r="E18" i="22"/>
  <c r="E17" i="22"/>
  <c r="E16" i="22"/>
  <c r="E15" i="22"/>
  <c r="E14" i="22"/>
  <c r="E13" i="22"/>
  <c r="E12" i="22"/>
  <c r="E11" i="22"/>
  <c r="E10" i="22"/>
  <c r="E9" i="22"/>
  <c r="E8" i="22"/>
  <c r="E7" i="22"/>
  <c r="E6" i="22"/>
  <c r="E5" i="22"/>
  <c r="E4" i="22"/>
  <c r="E3" i="22"/>
  <c r="E2" i="22"/>
  <c r="B3" i="20"/>
  <c r="C3" i="20"/>
  <c r="D3" i="20"/>
  <c r="E3" i="20"/>
  <c r="F3" i="20"/>
  <c r="G3" i="20"/>
  <c r="H3" i="20"/>
  <c r="I3" i="20"/>
  <c r="J3" i="20"/>
  <c r="K3" i="20"/>
  <c r="B4" i="20"/>
  <c r="C4" i="20"/>
  <c r="D4" i="20"/>
  <c r="E4" i="20"/>
  <c r="F4" i="20"/>
  <c r="G4" i="20"/>
  <c r="H4" i="20"/>
  <c r="I4" i="20"/>
  <c r="J4" i="20"/>
  <c r="K4" i="20"/>
  <c r="B5" i="20"/>
  <c r="C5" i="20"/>
  <c r="D5" i="20"/>
  <c r="E5" i="20"/>
  <c r="F5" i="20"/>
  <c r="G5" i="20"/>
  <c r="H5" i="20"/>
  <c r="I5" i="20"/>
  <c r="J5" i="20"/>
  <c r="K5" i="20"/>
  <c r="B6" i="20"/>
  <c r="C6" i="20"/>
  <c r="D6" i="20"/>
  <c r="E6" i="20"/>
  <c r="F6" i="20"/>
  <c r="G6" i="20"/>
  <c r="H6" i="20"/>
  <c r="I6" i="20"/>
  <c r="J6" i="20"/>
  <c r="K6" i="20"/>
  <c r="B7" i="20"/>
  <c r="C7" i="20"/>
  <c r="D7" i="20"/>
  <c r="E7" i="20"/>
  <c r="F7" i="20"/>
  <c r="G7" i="20"/>
  <c r="H7" i="20"/>
  <c r="I7" i="20"/>
  <c r="J7" i="20"/>
  <c r="K7" i="20"/>
  <c r="B8" i="20"/>
  <c r="C8" i="20"/>
  <c r="D8" i="20"/>
  <c r="E8" i="20"/>
  <c r="F8" i="20"/>
  <c r="G8" i="20"/>
  <c r="H8" i="20"/>
  <c r="I8" i="20"/>
  <c r="J8" i="20"/>
  <c r="K8" i="20"/>
  <c r="B9" i="20"/>
  <c r="C9" i="20"/>
  <c r="D9" i="20"/>
  <c r="E9" i="20"/>
  <c r="F9" i="20"/>
  <c r="G9" i="20"/>
  <c r="H9" i="20"/>
  <c r="I9" i="20"/>
  <c r="J9" i="20"/>
  <c r="K9" i="20"/>
  <c r="B10" i="20"/>
  <c r="C10" i="20"/>
  <c r="D10" i="20"/>
  <c r="E10" i="20"/>
  <c r="F10" i="20"/>
  <c r="G10" i="20"/>
  <c r="H10" i="20"/>
  <c r="I10" i="20"/>
  <c r="J10" i="20"/>
  <c r="K10" i="20"/>
  <c r="B11" i="20"/>
  <c r="C11" i="20"/>
  <c r="D11" i="20"/>
  <c r="E11" i="20"/>
  <c r="F11" i="20"/>
  <c r="G11" i="20"/>
  <c r="H11" i="20"/>
  <c r="I11" i="20"/>
  <c r="J11" i="20"/>
  <c r="K11" i="20"/>
  <c r="C2" i="20"/>
  <c r="D2" i="20"/>
  <c r="E2" i="20"/>
  <c r="F2" i="20"/>
  <c r="G2" i="20"/>
  <c r="H2" i="20"/>
  <c r="I2" i="20"/>
  <c r="J2" i="20"/>
  <c r="K2" i="20"/>
  <c r="M3" i="20"/>
  <c r="X11" i="20" s="1"/>
  <c r="B2" i="20"/>
  <c r="M3" i="18"/>
  <c r="P10" i="18" s="1"/>
  <c r="E46" i="17"/>
  <c r="E45" i="17"/>
  <c r="E44" i="17"/>
  <c r="E43" i="17"/>
  <c r="E42" i="17"/>
  <c r="E41" i="17"/>
  <c r="E40" i="17"/>
  <c r="E39" i="17"/>
  <c r="E38" i="17"/>
  <c r="E37" i="17"/>
  <c r="E36" i="17"/>
  <c r="E35" i="17"/>
  <c r="E34" i="17"/>
  <c r="E33" i="17"/>
  <c r="E32" i="17"/>
  <c r="E31" i="17"/>
  <c r="E30" i="17"/>
  <c r="E29" i="17"/>
  <c r="E28" i="17"/>
  <c r="E27" i="17"/>
  <c r="E26" i="17"/>
  <c r="E25" i="17"/>
  <c r="E24" i="17"/>
  <c r="E23" i="17"/>
  <c r="E22" i="17"/>
  <c r="E21" i="17"/>
  <c r="E20" i="17"/>
  <c r="E19" i="17"/>
  <c r="E18" i="17"/>
  <c r="E17" i="17"/>
  <c r="E16" i="17"/>
  <c r="E15" i="17"/>
  <c r="E14" i="17"/>
  <c r="E13" i="17"/>
  <c r="E12" i="17"/>
  <c r="E11" i="17"/>
  <c r="E10" i="17"/>
  <c r="E9" i="17"/>
  <c r="E8" i="17"/>
  <c r="E7" i="17"/>
  <c r="E6" i="17"/>
  <c r="E5" i="17"/>
  <c r="E4" i="17"/>
  <c r="E3" i="17"/>
  <c r="E2" i="17"/>
  <c r="M3" i="13"/>
  <c r="V6" i="13" s="1"/>
  <c r="E3" i="12"/>
  <c r="E4" i="12"/>
  <c r="E5" i="12"/>
  <c r="E6" i="12"/>
  <c r="E7" i="12"/>
  <c r="E8" i="12"/>
  <c r="E9" i="12"/>
  <c r="E10" i="12"/>
  <c r="E11" i="12"/>
  <c r="E12" i="12"/>
  <c r="E13" i="12"/>
  <c r="E14" i="12"/>
  <c r="E15" i="12"/>
  <c r="E16" i="12"/>
  <c r="E17" i="12"/>
  <c r="E18" i="12"/>
  <c r="E19" i="12"/>
  <c r="E20" i="12"/>
  <c r="E21" i="12"/>
  <c r="E22" i="12"/>
  <c r="E23" i="12"/>
  <c r="E24" i="12"/>
  <c r="E25" i="12"/>
  <c r="E26" i="12"/>
  <c r="E27" i="12"/>
  <c r="E28" i="12"/>
  <c r="E29" i="12"/>
  <c r="E30" i="12"/>
  <c r="E31" i="12"/>
  <c r="E32" i="12"/>
  <c r="E33" i="12"/>
  <c r="E34" i="12"/>
  <c r="E35" i="12"/>
  <c r="E36" i="12"/>
  <c r="E37" i="12"/>
  <c r="E38" i="12"/>
  <c r="E39" i="12"/>
  <c r="E40" i="12"/>
  <c r="E41" i="12"/>
  <c r="E42" i="12"/>
  <c r="E43" i="12"/>
  <c r="E44" i="12"/>
  <c r="E45" i="12"/>
  <c r="E46" i="12"/>
  <c r="E2" i="12"/>
  <c r="K11" i="15"/>
  <c r="J11" i="15"/>
  <c r="I11" i="15"/>
  <c r="H11" i="15"/>
  <c r="G11" i="15"/>
  <c r="F11" i="15"/>
  <c r="E11" i="15"/>
  <c r="D11" i="15"/>
  <c r="C11" i="15"/>
  <c r="B11" i="15"/>
  <c r="K10" i="15"/>
  <c r="J10" i="15"/>
  <c r="I10" i="15"/>
  <c r="H10" i="15"/>
  <c r="G10" i="15"/>
  <c r="F10" i="15"/>
  <c r="E10" i="15"/>
  <c r="D10" i="15"/>
  <c r="C10" i="15"/>
  <c r="B10" i="15"/>
  <c r="K9" i="15"/>
  <c r="J9" i="15"/>
  <c r="I9" i="15"/>
  <c r="H9" i="15"/>
  <c r="G9" i="15"/>
  <c r="F9" i="15"/>
  <c r="E9" i="15"/>
  <c r="D9" i="15"/>
  <c r="C9" i="15"/>
  <c r="B9" i="15"/>
  <c r="K8" i="15"/>
  <c r="J8" i="15"/>
  <c r="I8" i="15"/>
  <c r="H8" i="15"/>
  <c r="G8" i="15"/>
  <c r="F8" i="15"/>
  <c r="E8" i="15"/>
  <c r="D8" i="15"/>
  <c r="C8" i="15"/>
  <c r="B8" i="15"/>
  <c r="K7" i="15"/>
  <c r="J7" i="15"/>
  <c r="I7" i="15"/>
  <c r="H7" i="15"/>
  <c r="G7" i="15"/>
  <c r="F7" i="15"/>
  <c r="E7" i="15"/>
  <c r="D7" i="15"/>
  <c r="C7" i="15"/>
  <c r="B7" i="15"/>
  <c r="K6" i="15"/>
  <c r="J6" i="15"/>
  <c r="I6" i="15"/>
  <c r="H6" i="15"/>
  <c r="G6" i="15"/>
  <c r="F6" i="15"/>
  <c r="E6" i="15"/>
  <c r="D6" i="15"/>
  <c r="C6" i="15"/>
  <c r="B6" i="15"/>
  <c r="K5" i="15"/>
  <c r="J5" i="15"/>
  <c r="I5" i="15"/>
  <c r="H5" i="15"/>
  <c r="G5" i="15"/>
  <c r="F5" i="15"/>
  <c r="E5" i="15"/>
  <c r="D5" i="15"/>
  <c r="C5" i="15"/>
  <c r="B5" i="15"/>
  <c r="K4" i="15"/>
  <c r="J4" i="15"/>
  <c r="I4" i="15"/>
  <c r="H4" i="15"/>
  <c r="G4" i="15"/>
  <c r="F4" i="15"/>
  <c r="E4" i="15"/>
  <c r="D4" i="15"/>
  <c r="C4" i="15"/>
  <c r="B4" i="15"/>
  <c r="K3" i="15"/>
  <c r="J3" i="15"/>
  <c r="I3" i="15"/>
  <c r="H3" i="15"/>
  <c r="G3" i="15"/>
  <c r="F3" i="15"/>
  <c r="E3" i="15"/>
  <c r="D3" i="15"/>
  <c r="C3" i="15"/>
  <c r="B3" i="15"/>
  <c r="K2" i="15"/>
  <c r="J2" i="15"/>
  <c r="I2" i="15"/>
  <c r="H2" i="15"/>
  <c r="G2" i="15"/>
  <c r="F2" i="15"/>
  <c r="E2" i="15"/>
  <c r="D2" i="15"/>
  <c r="C2" i="15"/>
  <c r="B2" i="15"/>
  <c r="W10" i="13"/>
  <c r="V10" i="13"/>
  <c r="U10" i="13"/>
  <c r="T10" i="13"/>
  <c r="S10" i="13"/>
  <c r="R10" i="13"/>
  <c r="Q10" i="13"/>
  <c r="P10" i="13"/>
  <c r="O10" i="13"/>
  <c r="W8" i="13"/>
  <c r="V8" i="13"/>
  <c r="U8" i="13"/>
  <c r="T8" i="13"/>
  <c r="S8" i="13"/>
  <c r="R8" i="13"/>
  <c r="U6" i="13"/>
  <c r="T6" i="13"/>
  <c r="S6" i="13"/>
  <c r="R6" i="13"/>
  <c r="Q6" i="13"/>
  <c r="P6" i="13"/>
  <c r="O6" i="13"/>
  <c r="W4" i="13"/>
  <c r="V4" i="13"/>
  <c r="U4" i="13"/>
  <c r="T4" i="13"/>
  <c r="S4" i="13"/>
  <c r="R4" i="13"/>
  <c r="Q4" i="13"/>
  <c r="P4" i="13"/>
  <c r="X11" i="13"/>
  <c r="V2" i="13"/>
  <c r="U2" i="13"/>
  <c r="T2" i="13"/>
  <c r="R2" i="13"/>
  <c r="Q2" i="13"/>
  <c r="P2" i="13"/>
  <c r="V10" i="10"/>
  <c r="U10" i="10"/>
  <c r="T10" i="10"/>
  <c r="S10" i="10"/>
  <c r="R10" i="10"/>
  <c r="Q10" i="10"/>
  <c r="P10" i="10"/>
  <c r="O10" i="10"/>
  <c r="U9" i="10"/>
  <c r="T9" i="10"/>
  <c r="S9" i="10"/>
  <c r="R9" i="10"/>
  <c r="Q9" i="10"/>
  <c r="V8" i="10"/>
  <c r="U8" i="10"/>
  <c r="T8" i="10"/>
  <c r="S8" i="10"/>
  <c r="R8" i="10"/>
  <c r="Q8" i="10"/>
  <c r="P8" i="10"/>
  <c r="O8" i="10"/>
  <c r="U7" i="10"/>
  <c r="T7" i="10"/>
  <c r="S7" i="10"/>
  <c r="R7" i="10"/>
  <c r="Q7" i="10"/>
  <c r="V6" i="10"/>
  <c r="U6" i="10"/>
  <c r="T6" i="10"/>
  <c r="S6" i="10"/>
  <c r="R6" i="10"/>
  <c r="Q6" i="10"/>
  <c r="P6" i="10"/>
  <c r="O6" i="10"/>
  <c r="U5" i="10"/>
  <c r="T5" i="10"/>
  <c r="S5" i="10"/>
  <c r="R5" i="10"/>
  <c r="Q5" i="10"/>
  <c r="V4" i="10"/>
  <c r="U4" i="10"/>
  <c r="T4" i="10"/>
  <c r="S4" i="10"/>
  <c r="R4" i="10"/>
  <c r="Q4" i="10"/>
  <c r="P4" i="10"/>
  <c r="O4" i="10"/>
  <c r="U3" i="10"/>
  <c r="T3" i="10"/>
  <c r="S3" i="10"/>
  <c r="R3" i="10"/>
  <c r="Q3" i="10"/>
  <c r="M3" i="10"/>
  <c r="X11" i="10" s="1"/>
  <c r="W2" i="10"/>
  <c r="V2" i="10"/>
  <c r="U2" i="10"/>
  <c r="T2" i="10"/>
  <c r="S2" i="10"/>
  <c r="R2" i="10"/>
  <c r="Q2" i="10"/>
  <c r="P2" i="10"/>
  <c r="O3" i="8"/>
  <c r="P3" i="8"/>
  <c r="Q3" i="8"/>
  <c r="R3" i="8"/>
  <c r="S3" i="8"/>
  <c r="T3" i="8"/>
  <c r="U3" i="8"/>
  <c r="V3" i="8"/>
  <c r="W3" i="8"/>
  <c r="X3" i="8"/>
  <c r="O4" i="8"/>
  <c r="P4" i="8"/>
  <c r="Q4" i="8"/>
  <c r="R4" i="8"/>
  <c r="S4" i="8"/>
  <c r="T4" i="8"/>
  <c r="U4" i="8"/>
  <c r="V4" i="8"/>
  <c r="W4" i="8"/>
  <c r="X4" i="8"/>
  <c r="O5" i="8"/>
  <c r="P5" i="8"/>
  <c r="Q5" i="8"/>
  <c r="R5" i="8"/>
  <c r="S5" i="8"/>
  <c r="T5" i="8"/>
  <c r="U5" i="8"/>
  <c r="V5" i="8"/>
  <c r="W5" i="8"/>
  <c r="X5" i="8"/>
  <c r="O6" i="8"/>
  <c r="P6" i="8"/>
  <c r="Q6" i="8"/>
  <c r="R6" i="8"/>
  <c r="S6" i="8"/>
  <c r="T6" i="8"/>
  <c r="U6" i="8"/>
  <c r="V6" i="8"/>
  <c r="W6" i="8"/>
  <c r="X6" i="8"/>
  <c r="O7" i="8"/>
  <c r="P7" i="8"/>
  <c r="Q7" i="8"/>
  <c r="R7" i="8"/>
  <c r="S7" i="8"/>
  <c r="T7" i="8"/>
  <c r="U7" i="8"/>
  <c r="V7" i="8"/>
  <c r="W7" i="8"/>
  <c r="X7" i="8"/>
  <c r="O8" i="8"/>
  <c r="P8" i="8"/>
  <c r="Q8" i="8"/>
  <c r="R8" i="8"/>
  <c r="S8" i="8"/>
  <c r="T8" i="8"/>
  <c r="U8" i="8"/>
  <c r="V8" i="8"/>
  <c r="W8" i="8"/>
  <c r="X8" i="8"/>
  <c r="O9" i="8"/>
  <c r="P9" i="8"/>
  <c r="Q9" i="8"/>
  <c r="R9" i="8"/>
  <c r="S9" i="8"/>
  <c r="T9" i="8"/>
  <c r="U9" i="8"/>
  <c r="V9" i="8"/>
  <c r="W9" i="8"/>
  <c r="X9" i="8"/>
  <c r="O10" i="8"/>
  <c r="P10" i="8"/>
  <c r="Q10" i="8"/>
  <c r="R10" i="8"/>
  <c r="S10" i="8"/>
  <c r="T10" i="8"/>
  <c r="U10" i="8"/>
  <c r="V10" i="8"/>
  <c r="W10" i="8"/>
  <c r="X10" i="8"/>
  <c r="O11" i="8"/>
  <c r="P11" i="8"/>
  <c r="Q11" i="8"/>
  <c r="R11" i="8"/>
  <c r="S11" i="8"/>
  <c r="T11" i="8"/>
  <c r="U11" i="8"/>
  <c r="V11" i="8"/>
  <c r="W11" i="8"/>
  <c r="X11" i="8"/>
  <c r="X2" i="8"/>
  <c r="V2" i="8"/>
  <c r="W2" i="8"/>
  <c r="P2" i="8"/>
  <c r="Q2" i="8"/>
  <c r="R2" i="8"/>
  <c r="S2" i="8"/>
  <c r="T2" i="8"/>
  <c r="U2" i="8"/>
  <c r="O2" i="8"/>
  <c r="M3" i="8"/>
  <c r="K11" i="10"/>
  <c r="J11" i="10"/>
  <c r="I11" i="10"/>
  <c r="H11" i="10"/>
  <c r="G11" i="10"/>
  <c r="F11" i="10"/>
  <c r="E11" i="10"/>
  <c r="D11" i="10"/>
  <c r="C11" i="10"/>
  <c r="B11" i="10"/>
  <c r="K10" i="10"/>
  <c r="J10" i="10"/>
  <c r="I10" i="10"/>
  <c r="H10" i="10"/>
  <c r="G10" i="10"/>
  <c r="F10" i="10"/>
  <c r="E10" i="10"/>
  <c r="D10" i="10"/>
  <c r="C10" i="10"/>
  <c r="B10" i="10"/>
  <c r="K9" i="10"/>
  <c r="J9" i="10"/>
  <c r="I9" i="10"/>
  <c r="H9" i="10"/>
  <c r="G9" i="10"/>
  <c r="F9" i="10"/>
  <c r="E9" i="10"/>
  <c r="D9" i="10"/>
  <c r="C9" i="10"/>
  <c r="B9" i="10"/>
  <c r="K8" i="10"/>
  <c r="J8" i="10"/>
  <c r="I8" i="10"/>
  <c r="H8" i="10"/>
  <c r="G8" i="10"/>
  <c r="F8" i="10"/>
  <c r="E8" i="10"/>
  <c r="D8" i="10"/>
  <c r="C8" i="10"/>
  <c r="B8" i="10"/>
  <c r="K7" i="10"/>
  <c r="J7" i="10"/>
  <c r="I7" i="10"/>
  <c r="H7" i="10"/>
  <c r="G7" i="10"/>
  <c r="F7" i="10"/>
  <c r="E7" i="10"/>
  <c r="D7" i="10"/>
  <c r="C7" i="10"/>
  <c r="B7" i="10"/>
  <c r="K6" i="10"/>
  <c r="J6" i="10"/>
  <c r="I6" i="10"/>
  <c r="H6" i="10"/>
  <c r="G6" i="10"/>
  <c r="F6" i="10"/>
  <c r="E6" i="10"/>
  <c r="D6" i="10"/>
  <c r="C6" i="10"/>
  <c r="B6" i="10"/>
  <c r="K5" i="10"/>
  <c r="J5" i="10"/>
  <c r="I5" i="10"/>
  <c r="H5" i="10"/>
  <c r="G5" i="10"/>
  <c r="F5" i="10"/>
  <c r="E5" i="10"/>
  <c r="D5" i="10"/>
  <c r="C5" i="10"/>
  <c r="B5" i="10"/>
  <c r="K4" i="10"/>
  <c r="J4" i="10"/>
  <c r="I4" i="10"/>
  <c r="H4" i="10"/>
  <c r="G4" i="10"/>
  <c r="F4" i="10"/>
  <c r="E4" i="10"/>
  <c r="D4" i="10"/>
  <c r="C4" i="10"/>
  <c r="B4" i="10"/>
  <c r="K3" i="10"/>
  <c r="J3" i="10"/>
  <c r="I3" i="10"/>
  <c r="H3" i="10"/>
  <c r="G3" i="10"/>
  <c r="F3" i="10"/>
  <c r="E3" i="10"/>
  <c r="D3" i="10"/>
  <c r="C3" i="10"/>
  <c r="B3" i="10"/>
  <c r="K2" i="10"/>
  <c r="J2" i="10"/>
  <c r="I2" i="10"/>
  <c r="H2" i="10"/>
  <c r="G2" i="10"/>
  <c r="F2" i="10"/>
  <c r="E2" i="10"/>
  <c r="D2" i="10"/>
  <c r="C2" i="10"/>
  <c r="B2" i="10"/>
  <c r="E2" i="7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K11" i="5"/>
  <c r="J11" i="5"/>
  <c r="I11" i="5"/>
  <c r="H11" i="5"/>
  <c r="G11" i="5"/>
  <c r="F11" i="5"/>
  <c r="E11" i="5"/>
  <c r="D11" i="5"/>
  <c r="C11" i="5"/>
  <c r="B11" i="5"/>
  <c r="K10" i="5"/>
  <c r="J10" i="5"/>
  <c r="I10" i="5"/>
  <c r="H10" i="5"/>
  <c r="G10" i="5"/>
  <c r="F10" i="5"/>
  <c r="E10" i="5"/>
  <c r="D10" i="5"/>
  <c r="C10" i="5"/>
  <c r="B10" i="5"/>
  <c r="K9" i="5"/>
  <c r="J9" i="5"/>
  <c r="I9" i="5"/>
  <c r="H9" i="5"/>
  <c r="G9" i="5"/>
  <c r="F9" i="5"/>
  <c r="E9" i="5"/>
  <c r="D9" i="5"/>
  <c r="C9" i="5"/>
  <c r="B9" i="5"/>
  <c r="K8" i="5"/>
  <c r="J8" i="5"/>
  <c r="I8" i="5"/>
  <c r="H8" i="5"/>
  <c r="G8" i="5"/>
  <c r="F8" i="5"/>
  <c r="E8" i="5"/>
  <c r="D8" i="5"/>
  <c r="C8" i="5"/>
  <c r="B8" i="5"/>
  <c r="K7" i="5"/>
  <c r="J7" i="5"/>
  <c r="I7" i="5"/>
  <c r="H7" i="5"/>
  <c r="G7" i="5"/>
  <c r="F7" i="5"/>
  <c r="E7" i="5"/>
  <c r="D7" i="5"/>
  <c r="C7" i="5"/>
  <c r="B7" i="5"/>
  <c r="K6" i="5"/>
  <c r="J6" i="5"/>
  <c r="I6" i="5"/>
  <c r="H6" i="5"/>
  <c r="G6" i="5"/>
  <c r="F6" i="5"/>
  <c r="E6" i="5"/>
  <c r="D6" i="5"/>
  <c r="C6" i="5"/>
  <c r="B6" i="5"/>
  <c r="K5" i="5"/>
  <c r="J5" i="5"/>
  <c r="I5" i="5"/>
  <c r="H5" i="5"/>
  <c r="G5" i="5"/>
  <c r="F5" i="5"/>
  <c r="E5" i="5"/>
  <c r="D5" i="5"/>
  <c r="C5" i="5"/>
  <c r="B5" i="5"/>
  <c r="K4" i="5"/>
  <c r="J4" i="5"/>
  <c r="I4" i="5"/>
  <c r="H4" i="5"/>
  <c r="G4" i="5"/>
  <c r="F4" i="5"/>
  <c r="E4" i="5"/>
  <c r="D4" i="5"/>
  <c r="C4" i="5"/>
  <c r="B4" i="5"/>
  <c r="K3" i="5"/>
  <c r="J3" i="5"/>
  <c r="I3" i="5"/>
  <c r="H3" i="5"/>
  <c r="G3" i="5"/>
  <c r="F3" i="5"/>
  <c r="E3" i="5"/>
  <c r="D3" i="5"/>
  <c r="C3" i="5"/>
  <c r="B3" i="5"/>
  <c r="K2" i="5"/>
  <c r="J2" i="5"/>
  <c r="I2" i="5"/>
  <c r="H2" i="5"/>
  <c r="G2" i="5"/>
  <c r="F2" i="5"/>
  <c r="E2" i="5"/>
  <c r="D2" i="5"/>
  <c r="C2" i="5"/>
  <c r="B2" i="5"/>
  <c r="E44" i="1"/>
  <c r="E45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6" i="1"/>
  <c r="E2" i="1"/>
  <c r="V2" i="23" l="1"/>
  <c r="W2" i="23"/>
  <c r="X2" i="23"/>
  <c r="S5" i="23"/>
  <c r="U6" i="23"/>
  <c r="V6" i="23"/>
  <c r="S9" i="23"/>
  <c r="P5" i="23"/>
  <c r="Q5" i="23"/>
  <c r="R5" i="23"/>
  <c r="W8" i="23"/>
  <c r="X8" i="23"/>
  <c r="T9" i="23"/>
  <c r="T2" i="23"/>
  <c r="T5" i="23"/>
  <c r="R9" i="23"/>
  <c r="R10" i="23"/>
  <c r="S2" i="23"/>
  <c r="S10" i="23"/>
  <c r="U2" i="23"/>
  <c r="W6" i="23"/>
  <c r="T10" i="23"/>
  <c r="Q3" i="23"/>
  <c r="X6" i="23"/>
  <c r="U10" i="23"/>
  <c r="R3" i="23"/>
  <c r="O7" i="23"/>
  <c r="V10" i="23"/>
  <c r="S3" i="23"/>
  <c r="P7" i="23"/>
  <c r="W10" i="23"/>
  <c r="T3" i="23"/>
  <c r="Q7" i="23"/>
  <c r="X10" i="23"/>
  <c r="R4" i="23"/>
  <c r="R7" i="23"/>
  <c r="O11" i="23"/>
  <c r="S4" i="23"/>
  <c r="S7" i="23"/>
  <c r="P11" i="23"/>
  <c r="T4" i="23"/>
  <c r="T7" i="23"/>
  <c r="Q11" i="23"/>
  <c r="U4" i="23"/>
  <c r="R8" i="23"/>
  <c r="R11" i="23"/>
  <c r="V4" i="23"/>
  <c r="S8" i="23"/>
  <c r="S11" i="23"/>
  <c r="W4" i="23"/>
  <c r="T8" i="23"/>
  <c r="T11" i="23"/>
  <c r="X4" i="23"/>
  <c r="U8" i="23"/>
  <c r="O5" i="23"/>
  <c r="M3" i="25"/>
  <c r="V3" i="25" s="1"/>
  <c r="Q10" i="23"/>
  <c r="Q8" i="23"/>
  <c r="Q6" i="23"/>
  <c r="Q4" i="23"/>
  <c r="R2" i="23"/>
  <c r="P10" i="23"/>
  <c r="P8" i="23"/>
  <c r="P6" i="23"/>
  <c r="P4" i="23"/>
  <c r="Q2" i="23"/>
  <c r="O10" i="23"/>
  <c r="O8" i="23"/>
  <c r="O6" i="23"/>
  <c r="O4" i="23"/>
  <c r="P2" i="23"/>
  <c r="X11" i="23"/>
  <c r="X9" i="23"/>
  <c r="X7" i="23"/>
  <c r="X5" i="23"/>
  <c r="X3" i="23"/>
  <c r="O2" i="23"/>
  <c r="W11" i="23"/>
  <c r="W9" i="23"/>
  <c r="W7" i="23"/>
  <c r="W5" i="23"/>
  <c r="W3" i="23"/>
  <c r="V11" i="23"/>
  <c r="V9" i="23"/>
  <c r="V7" i="23"/>
  <c r="V5" i="23"/>
  <c r="V3" i="23"/>
  <c r="U11" i="23"/>
  <c r="U9" i="23"/>
  <c r="U7" i="23"/>
  <c r="U5" i="23"/>
  <c r="U3" i="23"/>
  <c r="R6" i="23"/>
  <c r="O9" i="23"/>
  <c r="O3" i="23"/>
  <c r="S6" i="23"/>
  <c r="P9" i="23"/>
  <c r="P3" i="23"/>
  <c r="T6" i="23"/>
  <c r="Q9" i="23"/>
  <c r="Q9" i="20"/>
  <c r="U8" i="18"/>
  <c r="V10" i="18"/>
  <c r="W2" i="18"/>
  <c r="T8" i="18"/>
  <c r="V8" i="18"/>
  <c r="P9" i="20"/>
  <c r="R2" i="18"/>
  <c r="S2" i="18"/>
  <c r="T2" i="18"/>
  <c r="Q10" i="18"/>
  <c r="U2" i="18"/>
  <c r="R5" i="20"/>
  <c r="V2" i="18"/>
  <c r="S5" i="20"/>
  <c r="V4" i="18"/>
  <c r="T6" i="18"/>
  <c r="T4" i="18"/>
  <c r="U4" i="18"/>
  <c r="U6" i="18"/>
  <c r="V6" i="18"/>
  <c r="Q8" i="18"/>
  <c r="R8" i="18"/>
  <c r="S8" i="18"/>
  <c r="T5" i="20"/>
  <c r="R10" i="20"/>
  <c r="R10" i="18"/>
  <c r="U5" i="20"/>
  <c r="S10" i="20"/>
  <c r="Q4" i="18"/>
  <c r="S10" i="18"/>
  <c r="T10" i="20"/>
  <c r="R4" i="18"/>
  <c r="T10" i="18"/>
  <c r="U10" i="20"/>
  <c r="S4" i="18"/>
  <c r="U10" i="18"/>
  <c r="Q6" i="18"/>
  <c r="O4" i="20"/>
  <c r="R6" i="18"/>
  <c r="P4" i="20"/>
  <c r="S6" i="18"/>
  <c r="Q4" i="20"/>
  <c r="O9" i="20"/>
  <c r="R4" i="20"/>
  <c r="S9" i="20"/>
  <c r="X8" i="18"/>
  <c r="Q8" i="20"/>
  <c r="O3" i="18"/>
  <c r="O7" i="18"/>
  <c r="O11" i="18"/>
  <c r="P2" i="20"/>
  <c r="P5" i="18"/>
  <c r="P9" i="18"/>
  <c r="O7" i="20"/>
  <c r="Q3" i="18"/>
  <c r="Q9" i="18"/>
  <c r="R2" i="20"/>
  <c r="T8" i="20"/>
  <c r="R3" i="18"/>
  <c r="R5" i="18"/>
  <c r="R9" i="18"/>
  <c r="R11" i="18"/>
  <c r="S2" i="20"/>
  <c r="U3" i="20"/>
  <c r="Q7" i="20"/>
  <c r="S7" i="18"/>
  <c r="T2" i="20"/>
  <c r="T3" i="18"/>
  <c r="T5" i="18"/>
  <c r="T9" i="18"/>
  <c r="T11" i="18"/>
  <c r="U2" i="20"/>
  <c r="O6" i="20"/>
  <c r="S7" i="20"/>
  <c r="O11" i="20"/>
  <c r="O3" i="20"/>
  <c r="Q2" i="20"/>
  <c r="Q5" i="18"/>
  <c r="R7" i="18"/>
  <c r="R7" i="20"/>
  <c r="P6" i="20"/>
  <c r="X5" i="18"/>
  <c r="S11" i="20"/>
  <c r="O2" i="20"/>
  <c r="R8" i="20"/>
  <c r="P7" i="20"/>
  <c r="U9" i="18"/>
  <c r="V11" i="18"/>
  <c r="W7" i="18"/>
  <c r="X9" i="18"/>
  <c r="P2" i="18"/>
  <c r="O4" i="18"/>
  <c r="O6" i="18"/>
  <c r="O8" i="18"/>
  <c r="O10" i="18"/>
  <c r="P5" i="20"/>
  <c r="T6" i="20"/>
  <c r="P10" i="20"/>
  <c r="T11" i="20"/>
  <c r="R9" i="20"/>
  <c r="S4" i="20"/>
  <c r="O8" i="20"/>
  <c r="X2" i="18"/>
  <c r="W4" i="18"/>
  <c r="W6" i="18"/>
  <c r="W8" i="18"/>
  <c r="W10" i="18"/>
  <c r="P3" i="20"/>
  <c r="T4" i="20"/>
  <c r="P8" i="20"/>
  <c r="T9" i="20"/>
  <c r="X4" i="18"/>
  <c r="X6" i="18"/>
  <c r="X10" i="18"/>
  <c r="Q3" i="20"/>
  <c r="U4" i="20"/>
  <c r="U9" i="20"/>
  <c r="O5" i="18"/>
  <c r="O9" i="18"/>
  <c r="R3" i="20"/>
  <c r="P3" i="18"/>
  <c r="P7" i="18"/>
  <c r="P11" i="18"/>
  <c r="S3" i="20"/>
  <c r="S8" i="20"/>
  <c r="Q7" i="18"/>
  <c r="Q11" i="18"/>
  <c r="T3" i="20"/>
  <c r="U8" i="20"/>
  <c r="S3" i="18"/>
  <c r="S5" i="18"/>
  <c r="S9" i="18"/>
  <c r="S11" i="18"/>
  <c r="T7" i="18"/>
  <c r="U3" i="18"/>
  <c r="U5" i="18"/>
  <c r="U7" i="18"/>
  <c r="U11" i="18"/>
  <c r="V2" i="20"/>
  <c r="T7" i="20"/>
  <c r="P11" i="20"/>
  <c r="V3" i="18"/>
  <c r="V5" i="18"/>
  <c r="V7" i="18"/>
  <c r="V9" i="18"/>
  <c r="Q6" i="20"/>
  <c r="U7" i="20"/>
  <c r="Q11" i="20"/>
  <c r="W3" i="18"/>
  <c r="W5" i="18"/>
  <c r="W9" i="18"/>
  <c r="W11" i="18"/>
  <c r="R6" i="20"/>
  <c r="R11" i="20"/>
  <c r="O2" i="18"/>
  <c r="X3" i="18"/>
  <c r="X7" i="18"/>
  <c r="X11" i="18"/>
  <c r="O5" i="20"/>
  <c r="S6" i="20"/>
  <c r="O10" i="20"/>
  <c r="Q2" i="18"/>
  <c r="P4" i="18"/>
  <c r="P6" i="18"/>
  <c r="P8" i="18"/>
  <c r="Q5" i="20"/>
  <c r="U6" i="20"/>
  <c r="Q10" i="20"/>
  <c r="U11" i="20"/>
  <c r="W2" i="20"/>
  <c r="V3" i="20"/>
  <c r="V4" i="20"/>
  <c r="V5" i="20"/>
  <c r="V6" i="20"/>
  <c r="V7" i="20"/>
  <c r="V8" i="20"/>
  <c r="V9" i="20"/>
  <c r="V10" i="20"/>
  <c r="V11" i="20"/>
  <c r="X2" i="20"/>
  <c r="W3" i="20"/>
  <c r="W4" i="20"/>
  <c r="W5" i="20"/>
  <c r="W6" i="20"/>
  <c r="W7" i="20"/>
  <c r="W8" i="20"/>
  <c r="W9" i="20"/>
  <c r="W10" i="20"/>
  <c r="W11" i="20"/>
  <c r="X3" i="20"/>
  <c r="X4" i="20"/>
  <c r="X5" i="20"/>
  <c r="X6" i="20"/>
  <c r="X7" i="20"/>
  <c r="X8" i="20"/>
  <c r="X9" i="20"/>
  <c r="X10" i="20"/>
  <c r="S2" i="13"/>
  <c r="M3" i="15"/>
  <c r="V2" i="15" s="1"/>
  <c r="W2" i="13"/>
  <c r="W6" i="13"/>
  <c r="X2" i="13"/>
  <c r="O8" i="13"/>
  <c r="P8" i="13"/>
  <c r="O4" i="13"/>
  <c r="Q8" i="13"/>
  <c r="X4" i="13"/>
  <c r="X6" i="13"/>
  <c r="X8" i="13"/>
  <c r="X10" i="13"/>
  <c r="O3" i="13"/>
  <c r="O5" i="13"/>
  <c r="O7" i="13"/>
  <c r="O9" i="13"/>
  <c r="O11" i="13"/>
  <c r="P9" i="13"/>
  <c r="Q3" i="13"/>
  <c r="Q7" i="13"/>
  <c r="Q11" i="13"/>
  <c r="R5" i="13"/>
  <c r="R9" i="13"/>
  <c r="S3" i="13"/>
  <c r="S7" i="13"/>
  <c r="S11" i="13"/>
  <c r="T3" i="13"/>
  <c r="T5" i="13"/>
  <c r="T7" i="13"/>
  <c r="T11" i="13"/>
  <c r="U3" i="13"/>
  <c r="U5" i="13"/>
  <c r="U7" i="13"/>
  <c r="U9" i="13"/>
  <c r="U11" i="13"/>
  <c r="V3" i="13"/>
  <c r="V5" i="13"/>
  <c r="V7" i="13"/>
  <c r="V9" i="13"/>
  <c r="V11" i="13"/>
  <c r="W3" i="13"/>
  <c r="W5" i="13"/>
  <c r="W7" i="13"/>
  <c r="W9" i="13"/>
  <c r="W11" i="13"/>
  <c r="P3" i="13"/>
  <c r="P5" i="13"/>
  <c r="P7" i="13"/>
  <c r="P11" i="13"/>
  <c r="Q5" i="13"/>
  <c r="Q9" i="13"/>
  <c r="R3" i="13"/>
  <c r="R7" i="13"/>
  <c r="R11" i="13"/>
  <c r="S5" i="13"/>
  <c r="S9" i="13"/>
  <c r="T9" i="13"/>
  <c r="O2" i="13"/>
  <c r="X3" i="13"/>
  <c r="X5" i="13"/>
  <c r="X7" i="13"/>
  <c r="X9" i="13"/>
  <c r="X2" i="10"/>
  <c r="W4" i="10"/>
  <c r="W6" i="10"/>
  <c r="W8" i="10"/>
  <c r="W10" i="10"/>
  <c r="O11" i="10"/>
  <c r="X4" i="10"/>
  <c r="X6" i="10"/>
  <c r="X8" i="10"/>
  <c r="X10" i="10"/>
  <c r="O3" i="10"/>
  <c r="O5" i="10"/>
  <c r="O7" i="10"/>
  <c r="O9" i="10"/>
  <c r="P3" i="10"/>
  <c r="P5" i="10"/>
  <c r="P7" i="10"/>
  <c r="P9" i="10"/>
  <c r="P11" i="10"/>
  <c r="Q11" i="10"/>
  <c r="R11" i="10"/>
  <c r="S11" i="10"/>
  <c r="T11" i="10"/>
  <c r="U11" i="10"/>
  <c r="V11" i="10"/>
  <c r="W11" i="10"/>
  <c r="V3" i="10"/>
  <c r="V5" i="10"/>
  <c r="V7" i="10"/>
  <c r="V9" i="10"/>
  <c r="W3" i="10"/>
  <c r="W5" i="10"/>
  <c r="W7" i="10"/>
  <c r="W9" i="10"/>
  <c r="O2" i="10"/>
  <c r="X3" i="10"/>
  <c r="X5" i="10"/>
  <c r="X7" i="10"/>
  <c r="X9" i="10"/>
  <c r="U10" i="25" l="1"/>
  <c r="U6" i="25"/>
  <c r="Q9" i="25"/>
  <c r="S5" i="25"/>
  <c r="T4" i="25"/>
  <c r="X9" i="25"/>
  <c r="X5" i="25"/>
  <c r="U4" i="25"/>
  <c r="T8" i="25"/>
  <c r="V11" i="25"/>
  <c r="V2" i="25"/>
  <c r="U2" i="25"/>
  <c r="U11" i="25"/>
  <c r="X7" i="25"/>
  <c r="U7" i="25"/>
  <c r="P8" i="25"/>
  <c r="P4" i="25"/>
  <c r="O8" i="25"/>
  <c r="O4" i="25"/>
  <c r="P9" i="25"/>
  <c r="P5" i="25"/>
  <c r="O9" i="25"/>
  <c r="O5" i="25"/>
  <c r="P10" i="25"/>
  <c r="P6" i="25"/>
  <c r="R2" i="25"/>
  <c r="O10" i="25"/>
  <c r="O6" i="25"/>
  <c r="Q2" i="25"/>
  <c r="S11" i="25"/>
  <c r="S7" i="25"/>
  <c r="S3" i="25"/>
  <c r="P2" i="25"/>
  <c r="R11" i="25"/>
  <c r="R7" i="25"/>
  <c r="R3" i="25"/>
  <c r="O2" i="25"/>
  <c r="Q11" i="25"/>
  <c r="Q7" i="25"/>
  <c r="Q3" i="25"/>
  <c r="P11" i="25"/>
  <c r="P7" i="25"/>
  <c r="P3" i="25"/>
  <c r="O3" i="25"/>
  <c r="S8" i="25"/>
  <c r="R8" i="25"/>
  <c r="Q8" i="25"/>
  <c r="S4" i="25"/>
  <c r="R4" i="25"/>
  <c r="Q4" i="25"/>
  <c r="O11" i="25"/>
  <c r="O7" i="25"/>
  <c r="T2" i="25"/>
  <c r="W9" i="25"/>
  <c r="R5" i="25"/>
  <c r="S9" i="25"/>
  <c r="W5" i="25"/>
  <c r="X3" i="25"/>
  <c r="W7" i="25"/>
  <c r="V9" i="25"/>
  <c r="Q5" i="25"/>
  <c r="S2" i="25"/>
  <c r="T11" i="25"/>
  <c r="V5" i="25"/>
  <c r="W3" i="25"/>
  <c r="R9" i="25"/>
  <c r="T7" i="25"/>
  <c r="U9" i="25"/>
  <c r="T10" i="25"/>
  <c r="V7" i="25"/>
  <c r="U3" i="25"/>
  <c r="U5" i="25"/>
  <c r="S10" i="25"/>
  <c r="T9" i="25"/>
  <c r="R10" i="25"/>
  <c r="T5" i="25"/>
  <c r="Q10" i="25"/>
  <c r="X10" i="25"/>
  <c r="T6" i="25"/>
  <c r="X8" i="25"/>
  <c r="X6" i="25"/>
  <c r="S6" i="25"/>
  <c r="X4" i="25"/>
  <c r="W8" i="25"/>
  <c r="W10" i="25"/>
  <c r="X11" i="25"/>
  <c r="T3" i="25"/>
  <c r="W4" i="25"/>
  <c r="W6" i="25"/>
  <c r="R6" i="25"/>
  <c r="V8" i="25"/>
  <c r="V10" i="25"/>
  <c r="W11" i="25"/>
  <c r="V4" i="25"/>
  <c r="V6" i="25"/>
  <c r="Q6" i="25"/>
  <c r="U8" i="25"/>
  <c r="X2" i="25"/>
  <c r="W2" i="25"/>
  <c r="O8" i="15"/>
  <c r="U2" i="15"/>
  <c r="V11" i="15"/>
  <c r="Q10" i="15"/>
  <c r="P9" i="15"/>
  <c r="P7" i="15"/>
  <c r="V5" i="15"/>
  <c r="P5" i="15"/>
  <c r="P3" i="15"/>
  <c r="O10" i="15"/>
  <c r="T2" i="15"/>
  <c r="U9" i="15"/>
  <c r="O9" i="15"/>
  <c r="X9" i="15"/>
  <c r="O7" i="15"/>
  <c r="U5" i="15"/>
  <c r="O5" i="15"/>
  <c r="O3" i="15"/>
  <c r="T9" i="15"/>
  <c r="Q4" i="15"/>
  <c r="S5" i="15"/>
  <c r="W10" i="15"/>
  <c r="R9" i="15"/>
  <c r="W6" i="15"/>
  <c r="W7" i="15"/>
  <c r="S2" i="15"/>
  <c r="P2" i="15"/>
  <c r="U6" i="15"/>
  <c r="W5" i="15"/>
  <c r="R8" i="15"/>
  <c r="U4" i="15"/>
  <c r="W3" i="15"/>
  <c r="R2" i="15"/>
  <c r="Q11" i="15"/>
  <c r="T10" i="15"/>
  <c r="V7" i="15"/>
  <c r="Q6" i="15"/>
  <c r="T8" i="15"/>
  <c r="P10" i="15"/>
  <c r="T6" i="15"/>
  <c r="V3" i="15"/>
  <c r="P4" i="15"/>
  <c r="T4" i="15"/>
  <c r="U11" i="15"/>
  <c r="O11" i="15"/>
  <c r="O2" i="15"/>
  <c r="X8" i="15"/>
  <c r="S8" i="15"/>
  <c r="U7" i="15"/>
  <c r="S4" i="15"/>
  <c r="X10" i="15"/>
  <c r="R10" i="15"/>
  <c r="U3" i="15"/>
  <c r="V9" i="15"/>
  <c r="R4" i="15"/>
  <c r="T11" i="15"/>
  <c r="X2" i="15"/>
  <c r="S9" i="15"/>
  <c r="S3" i="15"/>
  <c r="W8" i="15"/>
  <c r="R11" i="15"/>
  <c r="S10" i="15"/>
  <c r="R7" i="15"/>
  <c r="R6" i="15"/>
  <c r="W4" i="15"/>
  <c r="R5" i="15"/>
  <c r="Q8" i="15"/>
  <c r="W2" i="15"/>
  <c r="W11" i="15"/>
  <c r="R3" i="15"/>
  <c r="Q2" i="15"/>
  <c r="U10" i="15"/>
  <c r="W9" i="15"/>
  <c r="S6" i="15"/>
  <c r="P8" i="15"/>
  <c r="U8" i="15"/>
  <c r="T7" i="15"/>
  <c r="X3" i="15"/>
  <c r="Q9" i="15"/>
  <c r="V10" i="15"/>
  <c r="P6" i="15"/>
  <c r="T5" i="15"/>
  <c r="X4" i="15"/>
  <c r="Q7" i="15"/>
  <c r="V8" i="15"/>
  <c r="O6" i="15"/>
  <c r="T3" i="15"/>
  <c r="X5" i="15"/>
  <c r="Q5" i="15"/>
  <c r="V6" i="15"/>
  <c r="O4" i="15"/>
  <c r="S11" i="15"/>
  <c r="X6" i="15"/>
  <c r="Q3" i="15"/>
  <c r="V4" i="15"/>
  <c r="X11" i="15"/>
  <c r="S7" i="15"/>
  <c r="X7" i="15"/>
  <c r="P11" i="15"/>
</calcChain>
</file>

<file path=xl/sharedStrings.xml><?xml version="1.0" encoding="utf-8"?>
<sst xmlns="http://schemas.openxmlformats.org/spreadsheetml/2006/main" count="1095" uniqueCount="42">
  <si>
    <t>P_M8L-ZSB-S_8O8</t>
  </si>
  <si>
    <t>P_V1M-ZSB-S_4U3</t>
  </si>
  <si>
    <t>P_O7W-ZSB-S_8O8</t>
  </si>
  <si>
    <t>P_O7W-ZSB-S_3B9</t>
  </si>
  <si>
    <t>P_T4B-KYY-S_0M4</t>
  </si>
  <si>
    <t>P_L4V-KYY-S_9E0</t>
  </si>
  <si>
    <t>P_H7P-ZSB-S_1J8</t>
  </si>
  <si>
    <t>P_V2A-ZSB-S_0T2</t>
  </si>
  <si>
    <t>P_AW6-ZSB-S_0T2</t>
  </si>
  <si>
    <t>P_A4T-KYY-S_1Q4</t>
  </si>
  <si>
    <t>VL_1</t>
  </si>
  <si>
    <t>VL_2</t>
  </si>
  <si>
    <t>VL_3</t>
  </si>
  <si>
    <t>VL_4</t>
  </si>
  <si>
    <t>VL_5</t>
  </si>
  <si>
    <t>VL_6</t>
  </si>
  <si>
    <t>VL_7</t>
  </si>
  <si>
    <t>VL_8</t>
  </si>
  <si>
    <t>VL_9</t>
  </si>
  <si>
    <t>VL_10</t>
  </si>
  <si>
    <t>source</t>
  </si>
  <si>
    <t>target</t>
  </si>
  <si>
    <t>width_x</t>
  </si>
  <si>
    <t>height_y</t>
  </si>
  <si>
    <t>length_d</t>
  </si>
  <si>
    <t>id_val</t>
  </si>
  <si>
    <t>id_exp</t>
  </si>
  <si>
    <t>dist</t>
  </si>
  <si>
    <t>x</t>
  </si>
  <si>
    <t>y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</si>
  <si>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</si>
  <si>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</si>
  <si>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</si>
  <si>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</si>
  <si>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</si>
  <si>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</si>
  <si>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</si>
  <si>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</si>
  <si>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</si>
  <si>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</si>
  <si>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id</t>
  </si>
  <si>
    <t>dist_n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</si>
</sst>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F2730-B45D-4B4E-9DF2-C236BAEBC1FF}">
  <sheetPr>
    <tabColor theme="5" tint="-0.249977111117893"/>
  </sheetPr>
  <dimension ref="A1:G46"/>
  <sheetViews>
    <sheetView topLeftCell="B1" zoomScale="130" zoomScaleNormal="130" workbookViewId="0">
      <selection activeCell="G1" sqref="G1:G1048576"/>
    </sheetView>
  </sheetViews>
  <sheetFormatPr defaultRowHeight="14.4" x14ac:dyDescent="0.3"/>
  <cols>
    <col min="3" max="5" width="8.88671875" customWidth="1"/>
    <col min="8" max="8" width="16.6640625" bestFit="1" customWidth="1"/>
  </cols>
  <sheetData>
    <row r="1" spans="1:7" x14ac:dyDescent="0.3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27</v>
      </c>
      <c r="G1" t="s">
        <v>41</v>
      </c>
    </row>
    <row r="2" spans="1:7" x14ac:dyDescent="0.3">
      <c r="A2" t="s">
        <v>10</v>
      </c>
      <c r="B2" t="s">
        <v>11</v>
      </c>
      <c r="C2">
        <v>12.6</v>
      </c>
      <c r="D2">
        <v>2.2000000000000002</v>
      </c>
      <c r="E2">
        <f t="shared" ref="E2:E46" si="0">SQRT(D2^2+C2^2)</f>
        <v>12.790621564255586</v>
      </c>
      <c r="F2">
        <v>12.790621564255586</v>
      </c>
      <c r="G2">
        <f>F2/MAX($F$2:$F$46)</f>
        <v>0.32048132225887577</v>
      </c>
    </row>
    <row r="3" spans="1:7" x14ac:dyDescent="0.3">
      <c r="A3" t="s">
        <v>10</v>
      </c>
      <c r="B3" t="s">
        <v>12</v>
      </c>
      <c r="C3">
        <v>9.93</v>
      </c>
      <c r="D3">
        <v>1.07</v>
      </c>
      <c r="E3">
        <f t="shared" si="0"/>
        <v>9.9874821651905847</v>
      </c>
      <c r="F3">
        <v>9.9874821651905847</v>
      </c>
      <c r="G3">
        <f t="shared" ref="G3:G46" si="1">F3/MAX($F$2:$F$46)</f>
        <v>0.25024596922499165</v>
      </c>
    </row>
    <row r="4" spans="1:7" x14ac:dyDescent="0.3">
      <c r="A4" t="s">
        <v>10</v>
      </c>
      <c r="B4" t="s">
        <v>13</v>
      </c>
      <c r="C4">
        <v>13.45</v>
      </c>
      <c r="D4">
        <v>2.14</v>
      </c>
      <c r="E4">
        <f t="shared" si="0"/>
        <v>13.619181326349979</v>
      </c>
      <c r="F4">
        <v>13.619181326349979</v>
      </c>
      <c r="G4">
        <f t="shared" si="1"/>
        <v>0.34124168380913678</v>
      </c>
    </row>
    <row r="5" spans="1:7" x14ac:dyDescent="0.3">
      <c r="A5" t="s">
        <v>10</v>
      </c>
      <c r="B5" t="s">
        <v>14</v>
      </c>
      <c r="C5">
        <v>14.8</v>
      </c>
      <c r="D5">
        <v>5.23</v>
      </c>
      <c r="E5">
        <f t="shared" si="0"/>
        <v>15.696907338708476</v>
      </c>
      <c r="F5">
        <v>15.696907338708476</v>
      </c>
      <c r="G5">
        <f t="shared" si="1"/>
        <v>0.39330110690966424</v>
      </c>
    </row>
    <row r="6" spans="1:7" x14ac:dyDescent="0.3">
      <c r="A6" t="s">
        <v>10</v>
      </c>
      <c r="B6" t="s">
        <v>15</v>
      </c>
      <c r="C6">
        <v>8.2899999999999991</v>
      </c>
      <c r="D6">
        <v>2.38</v>
      </c>
      <c r="E6">
        <f t="shared" si="0"/>
        <v>8.6248768107144578</v>
      </c>
      <c r="F6">
        <v>8.6248768107144578</v>
      </c>
      <c r="G6">
        <f t="shared" si="1"/>
        <v>0.21610458184004258</v>
      </c>
    </row>
    <row r="7" spans="1:7" x14ac:dyDescent="0.3">
      <c r="A7" t="s">
        <v>10</v>
      </c>
      <c r="B7" t="s">
        <v>16</v>
      </c>
      <c r="C7">
        <v>18.91</v>
      </c>
      <c r="D7">
        <v>26.58</v>
      </c>
      <c r="E7">
        <f t="shared" si="0"/>
        <v>32.620308091739417</v>
      </c>
      <c r="F7">
        <v>32.620308091739417</v>
      </c>
      <c r="G7">
        <f t="shared" si="1"/>
        <v>0.81733318566375612</v>
      </c>
    </row>
    <row r="8" spans="1:7" x14ac:dyDescent="0.3">
      <c r="A8" t="s">
        <v>10</v>
      </c>
      <c r="B8" t="s">
        <v>17</v>
      </c>
      <c r="C8">
        <v>3.68</v>
      </c>
      <c r="D8">
        <v>17.72</v>
      </c>
      <c r="E8">
        <f t="shared" si="0"/>
        <v>18.098088296834003</v>
      </c>
      <c r="F8">
        <v>18.098088296834003</v>
      </c>
      <c r="G8">
        <f t="shared" si="1"/>
        <v>0.45346500469813661</v>
      </c>
    </row>
    <row r="9" spans="1:7" x14ac:dyDescent="0.3">
      <c r="A9" t="s">
        <v>10</v>
      </c>
      <c r="B9" t="s">
        <v>18</v>
      </c>
      <c r="C9">
        <v>7.98</v>
      </c>
      <c r="D9">
        <v>17.32</v>
      </c>
      <c r="E9">
        <f t="shared" si="0"/>
        <v>19.06994493961637</v>
      </c>
      <c r="F9">
        <v>19.06994493961637</v>
      </c>
      <c r="G9">
        <f t="shared" si="1"/>
        <v>0.47781580738276686</v>
      </c>
    </row>
    <row r="10" spans="1:7" x14ac:dyDescent="0.3">
      <c r="A10" t="s">
        <v>10</v>
      </c>
      <c r="B10" t="s">
        <v>19</v>
      </c>
      <c r="C10">
        <v>2.23</v>
      </c>
      <c r="D10">
        <v>8.5399999999999991</v>
      </c>
      <c r="E10">
        <f t="shared" si="0"/>
        <v>8.8263525875641289</v>
      </c>
      <c r="F10">
        <v>8.8263525875641289</v>
      </c>
      <c r="G10">
        <f t="shared" si="1"/>
        <v>0.2211527511603171</v>
      </c>
    </row>
    <row r="11" spans="1:7" x14ac:dyDescent="0.3">
      <c r="A11" t="s">
        <v>11</v>
      </c>
      <c r="B11" t="s">
        <v>12</v>
      </c>
      <c r="C11">
        <v>2.67</v>
      </c>
      <c r="D11">
        <v>3.28</v>
      </c>
      <c r="E11">
        <f t="shared" si="0"/>
        <v>4.2293380096653417</v>
      </c>
      <c r="F11">
        <v>4.2293380096653417</v>
      </c>
      <c r="G11">
        <f t="shared" si="1"/>
        <v>0.10597013059983816</v>
      </c>
    </row>
    <row r="12" spans="1:7" x14ac:dyDescent="0.3">
      <c r="A12" t="s">
        <v>11</v>
      </c>
      <c r="B12" t="s">
        <v>13</v>
      </c>
      <c r="C12">
        <v>0.85</v>
      </c>
      <c r="D12">
        <v>4.3600000000000003</v>
      </c>
      <c r="E12">
        <f t="shared" si="0"/>
        <v>4.4420828447925196</v>
      </c>
      <c r="F12">
        <v>4.4420828447925196</v>
      </c>
      <c r="G12">
        <f t="shared" si="1"/>
        <v>0.11130065701114572</v>
      </c>
    </row>
    <row r="13" spans="1:7" x14ac:dyDescent="0.3">
      <c r="A13" t="s">
        <v>11</v>
      </c>
      <c r="B13" t="s">
        <v>14</v>
      </c>
      <c r="C13">
        <v>27.4</v>
      </c>
      <c r="D13">
        <v>3.02</v>
      </c>
      <c r="E13">
        <f t="shared" si="0"/>
        <v>27.565928244846027</v>
      </c>
      <c r="F13">
        <v>27.565928244846027</v>
      </c>
      <c r="G13">
        <f t="shared" si="1"/>
        <v>0.69069083850388358</v>
      </c>
    </row>
    <row r="14" spans="1:7" x14ac:dyDescent="0.3">
      <c r="A14" t="s">
        <v>11</v>
      </c>
      <c r="B14" t="s">
        <v>15</v>
      </c>
      <c r="C14">
        <v>20.89</v>
      </c>
      <c r="D14">
        <v>0.17</v>
      </c>
      <c r="E14">
        <f t="shared" si="0"/>
        <v>20.890691707073753</v>
      </c>
      <c r="F14">
        <v>20.890691707073753</v>
      </c>
      <c r="G14">
        <f t="shared" si="1"/>
        <v>0.52343636840100505</v>
      </c>
    </row>
    <row r="15" spans="1:7" x14ac:dyDescent="0.3">
      <c r="A15" t="s">
        <v>11</v>
      </c>
      <c r="B15" t="s">
        <v>16</v>
      </c>
      <c r="C15">
        <v>6.32</v>
      </c>
      <c r="D15">
        <v>24.37</v>
      </c>
      <c r="E15">
        <f t="shared" si="0"/>
        <v>25.176165315631373</v>
      </c>
      <c r="F15">
        <v>25.176165315631373</v>
      </c>
      <c r="G15">
        <f t="shared" si="1"/>
        <v>0.63081303040890768</v>
      </c>
    </row>
    <row r="16" spans="1:7" x14ac:dyDescent="0.3">
      <c r="A16" t="s">
        <v>11</v>
      </c>
      <c r="B16" t="s">
        <v>17</v>
      </c>
      <c r="C16">
        <v>16.27</v>
      </c>
      <c r="D16">
        <v>15.51</v>
      </c>
      <c r="E16">
        <f t="shared" si="0"/>
        <v>22.478278403827996</v>
      </c>
      <c r="F16">
        <v>22.478278403827996</v>
      </c>
      <c r="G16">
        <f t="shared" si="1"/>
        <v>0.56321487965007999</v>
      </c>
    </row>
    <row r="17" spans="1:7" x14ac:dyDescent="0.3">
      <c r="A17" t="s">
        <v>11</v>
      </c>
      <c r="B17" t="s">
        <v>18</v>
      </c>
      <c r="C17">
        <v>20.6</v>
      </c>
      <c r="D17">
        <v>15.11</v>
      </c>
      <c r="E17">
        <f t="shared" si="0"/>
        <v>25.547448013451362</v>
      </c>
      <c r="F17">
        <v>25.547448013451362</v>
      </c>
      <c r="G17">
        <f t="shared" si="1"/>
        <v>0.64011587541385384</v>
      </c>
    </row>
    <row r="18" spans="1:7" x14ac:dyDescent="0.3">
      <c r="A18" t="s">
        <v>11</v>
      </c>
      <c r="B18" t="s">
        <v>19</v>
      </c>
      <c r="C18">
        <v>10.36</v>
      </c>
      <c r="D18">
        <v>6.33</v>
      </c>
      <c r="E18">
        <f t="shared" si="0"/>
        <v>12.140778393496852</v>
      </c>
      <c r="F18">
        <v>12.140778393496852</v>
      </c>
      <c r="G18">
        <f t="shared" si="1"/>
        <v>0.30419887675148416</v>
      </c>
    </row>
    <row r="19" spans="1:7" x14ac:dyDescent="0.3">
      <c r="A19" t="s">
        <v>12</v>
      </c>
      <c r="B19" t="s">
        <v>13</v>
      </c>
      <c r="C19">
        <v>3.52</v>
      </c>
      <c r="D19">
        <v>1.08</v>
      </c>
      <c r="E19">
        <f t="shared" si="0"/>
        <v>3.6819560019098545</v>
      </c>
      <c r="F19">
        <v>3.6819560019098545</v>
      </c>
      <c r="G19">
        <f t="shared" si="1"/>
        <v>9.2254948054180025E-2</v>
      </c>
    </row>
    <row r="20" spans="1:7" x14ac:dyDescent="0.3">
      <c r="A20" t="s">
        <v>12</v>
      </c>
      <c r="B20" t="s">
        <v>14</v>
      </c>
      <c r="C20">
        <v>24.74</v>
      </c>
      <c r="D20">
        <v>6.29</v>
      </c>
      <c r="E20">
        <f t="shared" si="0"/>
        <v>25.527077780270893</v>
      </c>
      <c r="F20">
        <v>25.527077780270893</v>
      </c>
      <c r="G20">
        <f t="shared" si="1"/>
        <v>0.63960547963428971</v>
      </c>
    </row>
    <row r="21" spans="1:7" x14ac:dyDescent="0.3">
      <c r="A21" t="s">
        <v>12</v>
      </c>
      <c r="B21" t="s">
        <v>15</v>
      </c>
      <c r="C21">
        <v>18.23</v>
      </c>
      <c r="D21">
        <v>3.45</v>
      </c>
      <c r="E21">
        <f t="shared" si="0"/>
        <v>18.553581864427148</v>
      </c>
      <c r="F21">
        <v>18.553581864427148</v>
      </c>
      <c r="G21">
        <f t="shared" si="1"/>
        <v>0.46487783401916105</v>
      </c>
    </row>
    <row r="22" spans="1:7" x14ac:dyDescent="0.3">
      <c r="A22" t="s">
        <v>12</v>
      </c>
      <c r="B22" t="s">
        <v>16</v>
      </c>
      <c r="C22">
        <v>8.9499999999999993</v>
      </c>
      <c r="D22">
        <v>27.64</v>
      </c>
      <c r="E22">
        <f t="shared" si="0"/>
        <v>29.052918958342207</v>
      </c>
      <c r="F22">
        <v>29.052918958342207</v>
      </c>
      <c r="G22">
        <f t="shared" si="1"/>
        <v>0.72794882066322519</v>
      </c>
    </row>
    <row r="23" spans="1:7" x14ac:dyDescent="0.3">
      <c r="A23" t="s">
        <v>12</v>
      </c>
      <c r="B23" t="s">
        <v>17</v>
      </c>
      <c r="C23">
        <v>13.55</v>
      </c>
      <c r="D23">
        <v>18.79</v>
      </c>
      <c r="E23">
        <f t="shared" si="0"/>
        <v>23.166065699639205</v>
      </c>
      <c r="F23">
        <v>23.166065699639205</v>
      </c>
      <c r="G23">
        <f t="shared" si="1"/>
        <v>0.58044805169626279</v>
      </c>
    </row>
    <row r="24" spans="1:7" x14ac:dyDescent="0.3">
      <c r="A24" t="s">
        <v>12</v>
      </c>
      <c r="B24" t="s">
        <v>18</v>
      </c>
      <c r="C24">
        <v>17.940000000000001</v>
      </c>
      <c r="D24">
        <v>18.39</v>
      </c>
      <c r="E24">
        <f t="shared" si="0"/>
        <v>25.691159958242448</v>
      </c>
      <c r="F24">
        <v>25.691159958242448</v>
      </c>
      <c r="G24">
        <f t="shared" si="1"/>
        <v>0.64371671637843619</v>
      </c>
    </row>
    <row r="25" spans="1:7" x14ac:dyDescent="0.3">
      <c r="A25" t="s">
        <v>12</v>
      </c>
      <c r="B25" t="s">
        <v>19</v>
      </c>
      <c r="C25">
        <v>7.69</v>
      </c>
      <c r="D25">
        <v>9.61</v>
      </c>
      <c r="E25">
        <f t="shared" si="0"/>
        <v>12.308054273523496</v>
      </c>
      <c r="F25">
        <v>12.308054273523496</v>
      </c>
      <c r="G25">
        <f t="shared" si="1"/>
        <v>0.30839013477156119</v>
      </c>
    </row>
    <row r="26" spans="1:7" x14ac:dyDescent="0.3">
      <c r="A26" t="s">
        <v>13</v>
      </c>
      <c r="B26" t="s">
        <v>14</v>
      </c>
      <c r="C26">
        <v>28.25</v>
      </c>
      <c r="D26">
        <v>7.37</v>
      </c>
      <c r="E26">
        <f t="shared" si="0"/>
        <v>29.195537330215384</v>
      </c>
      <c r="F26">
        <v>29.195537330215384</v>
      </c>
      <c r="G26">
        <f t="shared" si="1"/>
        <v>0.73152226110681196</v>
      </c>
    </row>
    <row r="27" spans="1:7" x14ac:dyDescent="0.3">
      <c r="A27" t="s">
        <v>13</v>
      </c>
      <c r="B27" t="s">
        <v>15</v>
      </c>
      <c r="C27">
        <v>21.71</v>
      </c>
      <c r="D27">
        <v>4.5199999999999996</v>
      </c>
      <c r="E27">
        <f t="shared" si="0"/>
        <v>22.175538324920097</v>
      </c>
      <c r="F27">
        <v>22.175538324920097</v>
      </c>
      <c r="G27">
        <f t="shared" si="1"/>
        <v>0.55562943586990465</v>
      </c>
    </row>
    <row r="28" spans="1:7" x14ac:dyDescent="0.3">
      <c r="A28" t="s">
        <v>13</v>
      </c>
      <c r="B28" t="s">
        <v>16</v>
      </c>
      <c r="C28">
        <v>5.47</v>
      </c>
      <c r="D28">
        <v>28.72</v>
      </c>
      <c r="E28">
        <f t="shared" si="0"/>
        <v>29.23626686155399</v>
      </c>
      <c r="F28">
        <v>29.23626686155399</v>
      </c>
      <c r="G28">
        <f t="shared" si="1"/>
        <v>0.73254277867844098</v>
      </c>
    </row>
    <row r="29" spans="1:7" x14ac:dyDescent="0.3">
      <c r="A29" t="s">
        <v>13</v>
      </c>
      <c r="B29" t="s">
        <v>17</v>
      </c>
      <c r="C29">
        <v>17.12</v>
      </c>
      <c r="D29">
        <v>19.86</v>
      </c>
      <c r="E29">
        <f t="shared" si="0"/>
        <v>26.220488172419675</v>
      </c>
      <c r="F29">
        <v>26.220488172419675</v>
      </c>
      <c r="G29">
        <f t="shared" si="1"/>
        <v>0.65697954376616219</v>
      </c>
    </row>
    <row r="30" spans="1:7" x14ac:dyDescent="0.3">
      <c r="A30" t="s">
        <v>13</v>
      </c>
      <c r="B30" t="s">
        <v>18</v>
      </c>
      <c r="C30">
        <v>21.45</v>
      </c>
      <c r="D30">
        <v>19.47</v>
      </c>
      <c r="E30">
        <f t="shared" si="0"/>
        <v>28.96866237850826</v>
      </c>
      <c r="F30">
        <v>28.96866237850826</v>
      </c>
      <c r="G30">
        <f t="shared" si="1"/>
        <v>0.72583769103762086</v>
      </c>
    </row>
    <row r="31" spans="1:7" x14ac:dyDescent="0.3">
      <c r="A31" t="s">
        <v>13</v>
      </c>
      <c r="B31" t="s">
        <v>19</v>
      </c>
      <c r="C31">
        <v>11.2</v>
      </c>
      <c r="D31">
        <v>10.69</v>
      </c>
      <c r="E31">
        <f t="shared" si="0"/>
        <v>15.482767840408897</v>
      </c>
      <c r="F31">
        <v>15.482767840408897</v>
      </c>
      <c r="G31">
        <f t="shared" si="1"/>
        <v>0.38793563587151808</v>
      </c>
    </row>
    <row r="32" spans="1:7" x14ac:dyDescent="0.3">
      <c r="A32" t="s">
        <v>14</v>
      </c>
      <c r="B32" t="s">
        <v>15</v>
      </c>
      <c r="C32">
        <v>6.51</v>
      </c>
      <c r="D32">
        <v>2.85</v>
      </c>
      <c r="E32">
        <f t="shared" si="0"/>
        <v>7.1065181347830251</v>
      </c>
      <c r="F32">
        <v>7.1065181347830251</v>
      </c>
      <c r="G32">
        <f t="shared" si="1"/>
        <v>0.17806064521966758</v>
      </c>
    </row>
    <row r="33" spans="1:7" x14ac:dyDescent="0.3">
      <c r="A33" t="s">
        <v>14</v>
      </c>
      <c r="B33" t="s">
        <v>16</v>
      </c>
      <c r="C33">
        <v>33.72</v>
      </c>
      <c r="D33">
        <v>21.35</v>
      </c>
      <c r="E33">
        <f t="shared" si="0"/>
        <v>39.910661482866956</v>
      </c>
      <c r="F33">
        <v>39.910661482866956</v>
      </c>
      <c r="G33">
        <f t="shared" si="1"/>
        <v>1</v>
      </c>
    </row>
    <row r="34" spans="1:7" x14ac:dyDescent="0.3">
      <c r="A34" t="s">
        <v>14</v>
      </c>
      <c r="B34" t="s">
        <v>17</v>
      </c>
      <c r="C34">
        <v>11.16</v>
      </c>
      <c r="D34">
        <v>12.49</v>
      </c>
      <c r="E34">
        <f t="shared" si="0"/>
        <v>16.749498499955155</v>
      </c>
      <c r="F34">
        <v>16.749498499955155</v>
      </c>
      <c r="G34">
        <f t="shared" si="1"/>
        <v>0.41967479058560486</v>
      </c>
    </row>
    <row r="35" spans="1:7" x14ac:dyDescent="0.3">
      <c r="A35" t="s">
        <v>14</v>
      </c>
      <c r="B35" t="s">
        <v>18</v>
      </c>
      <c r="C35">
        <v>6.8</v>
      </c>
      <c r="D35">
        <v>12.1</v>
      </c>
      <c r="E35">
        <f t="shared" si="0"/>
        <v>13.87984149765407</v>
      </c>
      <c r="F35">
        <v>13.87984149765407</v>
      </c>
      <c r="G35">
        <f t="shared" si="1"/>
        <v>0.34777277504188892</v>
      </c>
    </row>
    <row r="36" spans="1:7" x14ac:dyDescent="0.3">
      <c r="A36" t="s">
        <v>14</v>
      </c>
      <c r="B36" t="s">
        <v>19</v>
      </c>
      <c r="C36">
        <v>17.05</v>
      </c>
      <c r="D36">
        <v>3.32</v>
      </c>
      <c r="E36">
        <f t="shared" si="0"/>
        <v>17.37023028056911</v>
      </c>
      <c r="F36">
        <v>17.37023028056911</v>
      </c>
      <c r="G36">
        <f t="shared" si="1"/>
        <v>0.43522782222053341</v>
      </c>
    </row>
    <row r="37" spans="1:7" x14ac:dyDescent="0.3">
      <c r="A37" t="s">
        <v>15</v>
      </c>
      <c r="B37" t="s">
        <v>16</v>
      </c>
      <c r="C37">
        <v>27.21</v>
      </c>
      <c r="D37">
        <v>24.2</v>
      </c>
      <c r="E37">
        <f t="shared" si="0"/>
        <v>36.414613824672095</v>
      </c>
      <c r="F37">
        <v>36.414613824672095</v>
      </c>
      <c r="G37">
        <f t="shared" si="1"/>
        <v>0.91240316425986423</v>
      </c>
    </row>
    <row r="38" spans="1:7" x14ac:dyDescent="0.3">
      <c r="A38" t="s">
        <v>15</v>
      </c>
      <c r="B38" t="s">
        <v>17</v>
      </c>
      <c r="C38">
        <v>4.6500000000000004</v>
      </c>
      <c r="D38">
        <v>15.34</v>
      </c>
      <c r="E38">
        <f t="shared" si="0"/>
        <v>16.02928881766125</v>
      </c>
      <c r="F38">
        <v>16.02928881766125</v>
      </c>
      <c r="G38">
        <f t="shared" si="1"/>
        <v>0.4016292444699866</v>
      </c>
    </row>
    <row r="39" spans="1:7" x14ac:dyDescent="0.3">
      <c r="A39" t="s">
        <v>15</v>
      </c>
      <c r="B39" t="s">
        <v>18</v>
      </c>
      <c r="C39">
        <v>0.28999999999999998</v>
      </c>
      <c r="D39">
        <v>14.94</v>
      </c>
      <c r="E39">
        <f t="shared" si="0"/>
        <v>14.942814326625356</v>
      </c>
      <c r="F39">
        <v>14.942814326625356</v>
      </c>
      <c r="G39">
        <f t="shared" si="1"/>
        <v>0.37440658138527921</v>
      </c>
    </row>
    <row r="40" spans="1:7" x14ac:dyDescent="0.3">
      <c r="A40" t="s">
        <v>15</v>
      </c>
      <c r="B40" t="s">
        <v>19</v>
      </c>
      <c r="C40">
        <v>10.54</v>
      </c>
      <c r="D40">
        <v>6.16</v>
      </c>
      <c r="E40">
        <f t="shared" si="0"/>
        <v>12.208079292009861</v>
      </c>
      <c r="F40">
        <v>12.208079292009861</v>
      </c>
      <c r="G40">
        <f t="shared" si="1"/>
        <v>0.30588516547766581</v>
      </c>
    </row>
    <row r="41" spans="1:7" x14ac:dyDescent="0.3">
      <c r="A41" t="s">
        <v>16</v>
      </c>
      <c r="B41" t="s">
        <v>17</v>
      </c>
      <c r="C41">
        <v>22.59</v>
      </c>
      <c r="D41">
        <v>8.86</v>
      </c>
      <c r="E41">
        <f t="shared" si="0"/>
        <v>24.265360083872647</v>
      </c>
      <c r="F41">
        <v>24.265360083872647</v>
      </c>
      <c r="G41">
        <f t="shared" si="1"/>
        <v>0.60799192953214765</v>
      </c>
    </row>
    <row r="42" spans="1:7" x14ac:dyDescent="0.3">
      <c r="A42" t="s">
        <v>16</v>
      </c>
      <c r="B42" t="s">
        <v>18</v>
      </c>
      <c r="C42">
        <v>26.95</v>
      </c>
      <c r="D42">
        <v>9.26</v>
      </c>
      <c r="E42">
        <f t="shared" si="0"/>
        <v>28.496492766654637</v>
      </c>
      <c r="F42">
        <v>28.496492766654637</v>
      </c>
      <c r="G42">
        <f t="shared" si="1"/>
        <v>0.71400702739261157</v>
      </c>
    </row>
    <row r="43" spans="1:7" x14ac:dyDescent="0.3">
      <c r="A43" t="s">
        <v>16</v>
      </c>
      <c r="B43" t="s">
        <v>19</v>
      </c>
      <c r="C43">
        <v>16.670000000000002</v>
      </c>
      <c r="D43">
        <v>18.05</v>
      </c>
      <c r="E43">
        <f t="shared" si="0"/>
        <v>24.570132274776221</v>
      </c>
      <c r="F43">
        <v>24.570132274776221</v>
      </c>
      <c r="G43">
        <f t="shared" si="1"/>
        <v>0.61562828983237494</v>
      </c>
    </row>
    <row r="44" spans="1:7" x14ac:dyDescent="0.3">
      <c r="A44" t="s">
        <v>17</v>
      </c>
      <c r="B44" t="s">
        <v>18</v>
      </c>
      <c r="C44">
        <v>4.33</v>
      </c>
      <c r="D44">
        <v>0.4</v>
      </c>
      <c r="E44">
        <f t="shared" si="0"/>
        <v>4.3484365006287025</v>
      </c>
      <c r="F44">
        <v>4.3484365006287025</v>
      </c>
      <c r="G44">
        <f t="shared" si="1"/>
        <v>0.10895425781142266</v>
      </c>
    </row>
    <row r="45" spans="1:7" x14ac:dyDescent="0.3">
      <c r="A45" t="s">
        <v>17</v>
      </c>
      <c r="B45" t="s">
        <v>19</v>
      </c>
      <c r="C45">
        <v>5.92</v>
      </c>
      <c r="D45">
        <v>9.19</v>
      </c>
      <c r="E45">
        <f t="shared" si="0"/>
        <v>10.931719901278115</v>
      </c>
      <c r="F45">
        <v>10.931719901278115</v>
      </c>
      <c r="G45">
        <f t="shared" si="1"/>
        <v>0.27390475364511152</v>
      </c>
    </row>
    <row r="46" spans="1:7" x14ac:dyDescent="0.3">
      <c r="A46" t="s">
        <v>18</v>
      </c>
      <c r="B46" t="s">
        <v>19</v>
      </c>
      <c r="C46">
        <v>10.15</v>
      </c>
      <c r="D46">
        <v>8.7799999999999994</v>
      </c>
      <c r="E46">
        <f t="shared" si="0"/>
        <v>13.420540227576534</v>
      </c>
      <c r="F46">
        <v>13.420540227576534</v>
      </c>
      <c r="G46">
        <f t="shared" si="1"/>
        <v>0.33626454007377876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10A30-6E5D-43E6-B00A-5971C2DE8167}">
  <sheetPr>
    <tabColor theme="5" tint="-0.249977111117893"/>
  </sheetPr>
  <dimension ref="A1:L11"/>
  <sheetViews>
    <sheetView workbookViewId="0">
      <selection activeCell="L2" sqref="L2"/>
    </sheetView>
  </sheetViews>
  <sheetFormatPr defaultRowHeight="14.4" x14ac:dyDescent="0.3"/>
  <cols>
    <col min="1" max="1" width="6" customWidth="1"/>
  </cols>
  <sheetData>
    <row r="1" spans="1:12" x14ac:dyDescent="0.3"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/>
    </row>
    <row r="2" spans="1:12" x14ac:dyDescent="0.3">
      <c r="A2" t="s">
        <v>10</v>
      </c>
      <c r="B2" s="1">
        <v>0</v>
      </c>
      <c r="C2" s="1">
        <v>12.790621564255586</v>
      </c>
      <c r="D2" s="1">
        <v>9.9874821651905847</v>
      </c>
      <c r="E2" s="1">
        <v>13.619181326349979</v>
      </c>
      <c r="F2" s="1">
        <v>15.696907338708476</v>
      </c>
      <c r="G2" s="1">
        <v>8.6248768107144578</v>
      </c>
      <c r="H2" s="1">
        <v>32.620308091739417</v>
      </c>
      <c r="I2" s="1">
        <v>18.098088296834003</v>
      </c>
      <c r="J2" s="1">
        <v>19.06994493961637</v>
      </c>
      <c r="K2" s="1">
        <v>8.8263525875641289</v>
      </c>
      <c r="L2" s="1"/>
    </row>
    <row r="3" spans="1:12" x14ac:dyDescent="0.3">
      <c r="A3" t="s">
        <v>11</v>
      </c>
      <c r="B3" s="1">
        <v>12.790621564255586</v>
      </c>
      <c r="C3" s="1">
        <v>0</v>
      </c>
      <c r="D3">
        <v>4.2293380096653417</v>
      </c>
      <c r="E3">
        <v>4.4420828447925196</v>
      </c>
      <c r="F3">
        <v>27.565928244846027</v>
      </c>
      <c r="G3">
        <v>20.890691707073753</v>
      </c>
      <c r="H3">
        <v>25.176165315631373</v>
      </c>
      <c r="I3">
        <v>22.478278403827996</v>
      </c>
      <c r="J3">
        <v>25.547448013451362</v>
      </c>
      <c r="K3">
        <v>12.140778393496852</v>
      </c>
    </row>
    <row r="4" spans="1:12" x14ac:dyDescent="0.3">
      <c r="A4" t="s">
        <v>12</v>
      </c>
      <c r="B4" s="1">
        <v>9.9874821651905847</v>
      </c>
      <c r="C4">
        <v>4.2293380096653417</v>
      </c>
      <c r="D4" s="1">
        <v>0</v>
      </c>
      <c r="E4">
        <v>3.6819560019098545</v>
      </c>
      <c r="F4">
        <v>25.527077780270893</v>
      </c>
      <c r="G4">
        <v>18.553581864427148</v>
      </c>
      <c r="H4">
        <v>29.052918958342207</v>
      </c>
      <c r="I4">
        <v>23.166065699639205</v>
      </c>
      <c r="J4">
        <v>25.691159958242448</v>
      </c>
      <c r="K4">
        <v>12.308054273523496</v>
      </c>
    </row>
    <row r="5" spans="1:12" x14ac:dyDescent="0.3">
      <c r="A5" t="s">
        <v>13</v>
      </c>
      <c r="B5" s="1">
        <v>13.619181326349979</v>
      </c>
      <c r="C5">
        <v>4.4420828447925196</v>
      </c>
      <c r="D5">
        <v>3.6819560019098545</v>
      </c>
      <c r="E5" s="1">
        <v>0</v>
      </c>
      <c r="F5">
        <v>29.195537330215384</v>
      </c>
      <c r="G5">
        <v>22.175538324920097</v>
      </c>
      <c r="H5">
        <v>29.23626686155399</v>
      </c>
      <c r="I5">
        <v>26.220488172419675</v>
      </c>
      <c r="J5">
        <v>28.96866237850826</v>
      </c>
      <c r="K5">
        <v>15.482767840408897</v>
      </c>
    </row>
    <row r="6" spans="1:12" x14ac:dyDescent="0.3">
      <c r="A6" t="s">
        <v>14</v>
      </c>
      <c r="B6" s="1">
        <v>15.696907338708476</v>
      </c>
      <c r="C6">
        <v>27.565928244846027</v>
      </c>
      <c r="D6">
        <v>25.527077780270893</v>
      </c>
      <c r="E6">
        <v>29.195537330215384</v>
      </c>
      <c r="F6" s="1">
        <v>0</v>
      </c>
      <c r="G6">
        <v>7.1065181347830251</v>
      </c>
      <c r="H6">
        <v>39.910661482866956</v>
      </c>
      <c r="I6">
        <v>16.749498499955155</v>
      </c>
      <c r="J6">
        <v>13.87984149765407</v>
      </c>
      <c r="K6">
        <v>17.37023028056911</v>
      </c>
    </row>
    <row r="7" spans="1:12" x14ac:dyDescent="0.3">
      <c r="A7" t="s">
        <v>15</v>
      </c>
      <c r="B7" s="1">
        <v>8.6248768107144578</v>
      </c>
      <c r="C7">
        <v>20.890691707073753</v>
      </c>
      <c r="D7">
        <v>18.553581864427148</v>
      </c>
      <c r="E7">
        <v>22.175538324920097</v>
      </c>
      <c r="F7">
        <v>7.1065181347830251</v>
      </c>
      <c r="G7" s="1">
        <v>0</v>
      </c>
      <c r="H7">
        <v>36.414613824672095</v>
      </c>
      <c r="I7">
        <v>16.02928881766125</v>
      </c>
      <c r="J7">
        <v>14.942814326625356</v>
      </c>
      <c r="K7">
        <v>12.208079292009861</v>
      </c>
    </row>
    <row r="8" spans="1:12" x14ac:dyDescent="0.3">
      <c r="A8" t="s">
        <v>16</v>
      </c>
      <c r="B8" s="1">
        <v>32.620308091739417</v>
      </c>
      <c r="C8">
        <v>25.176165315631373</v>
      </c>
      <c r="D8">
        <v>29.052918958342207</v>
      </c>
      <c r="E8">
        <v>29.23626686155399</v>
      </c>
      <c r="F8">
        <v>39.910661482866956</v>
      </c>
      <c r="G8">
        <v>36.414613824672095</v>
      </c>
      <c r="H8" s="1">
        <v>0</v>
      </c>
      <c r="I8">
        <v>24.265360083872647</v>
      </c>
      <c r="J8">
        <v>28.496492766654637</v>
      </c>
      <c r="K8">
        <v>24.570132274776221</v>
      </c>
    </row>
    <row r="9" spans="1:12" x14ac:dyDescent="0.3">
      <c r="A9" t="s">
        <v>17</v>
      </c>
      <c r="B9" s="1">
        <v>18.098088296834003</v>
      </c>
      <c r="C9">
        <v>22.478278403827996</v>
      </c>
      <c r="D9">
        <v>23.166065699639205</v>
      </c>
      <c r="E9">
        <v>26.220488172419675</v>
      </c>
      <c r="F9">
        <v>16.749498499955155</v>
      </c>
      <c r="G9">
        <v>16.02928881766125</v>
      </c>
      <c r="H9">
        <v>24.265360083872647</v>
      </c>
      <c r="I9" s="1">
        <v>0</v>
      </c>
      <c r="J9">
        <v>4.3484365006287025</v>
      </c>
      <c r="K9">
        <v>10.931719901278115</v>
      </c>
    </row>
    <row r="10" spans="1:12" x14ac:dyDescent="0.3">
      <c r="A10" t="s">
        <v>18</v>
      </c>
      <c r="B10" s="1">
        <v>19.06994493961637</v>
      </c>
      <c r="C10">
        <v>25.547448013451362</v>
      </c>
      <c r="D10">
        <v>25.691159958242448</v>
      </c>
      <c r="E10">
        <v>28.96866237850826</v>
      </c>
      <c r="F10">
        <v>13.87984149765407</v>
      </c>
      <c r="G10">
        <v>14.942814326625356</v>
      </c>
      <c r="H10">
        <v>28.496492766654637</v>
      </c>
      <c r="I10">
        <v>4.3484365006287025</v>
      </c>
      <c r="J10" s="1">
        <v>0</v>
      </c>
      <c r="K10">
        <v>13.420540227576534</v>
      </c>
    </row>
    <row r="11" spans="1:12" x14ac:dyDescent="0.3">
      <c r="A11" t="s">
        <v>19</v>
      </c>
      <c r="B11" s="1">
        <v>8.8263525875641289</v>
      </c>
      <c r="C11">
        <v>12.140778393496852</v>
      </c>
      <c r="D11">
        <v>12.308054273523496</v>
      </c>
      <c r="E11">
        <v>15.482767840408897</v>
      </c>
      <c r="F11">
        <v>17.37023028056911</v>
      </c>
      <c r="G11">
        <v>12.208079292009861</v>
      </c>
      <c r="H11">
        <v>24.570132274776221</v>
      </c>
      <c r="I11">
        <v>10.931719901278115</v>
      </c>
      <c r="J11">
        <v>13.420540227576534</v>
      </c>
      <c r="K11" s="1">
        <v>0</v>
      </c>
      <c r="L11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91DC2-65EE-418F-A1FF-5DA2F38845A0}">
  <sheetPr>
    <tabColor rgb="FFC00000"/>
  </sheetPr>
  <dimension ref="A1:J11"/>
  <sheetViews>
    <sheetView workbookViewId="0">
      <selection activeCell="Q20" sqref="Q20"/>
    </sheetView>
  </sheetViews>
  <sheetFormatPr defaultRowHeight="14.4" x14ac:dyDescent="0.3"/>
  <sheetData>
    <row r="1" spans="1:10" x14ac:dyDescent="0.3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</row>
    <row r="2" spans="1:10" x14ac:dyDescent="0.3">
      <c r="A2">
        <v>0</v>
      </c>
      <c r="B2">
        <v>0.32048132225887577</v>
      </c>
      <c r="C2">
        <v>0.25024596922499165</v>
      </c>
      <c r="D2">
        <v>0.34124168380913678</v>
      </c>
      <c r="E2">
        <v>0.39330110690966424</v>
      </c>
      <c r="F2">
        <v>0.21610458184004258</v>
      </c>
      <c r="G2">
        <v>0.81733318566375612</v>
      </c>
      <c r="H2">
        <v>0.45346500469813661</v>
      </c>
      <c r="I2">
        <v>0.47781580738276686</v>
      </c>
      <c r="J2">
        <v>0.2211527511603171</v>
      </c>
    </row>
    <row r="3" spans="1:10" x14ac:dyDescent="0.3">
      <c r="A3">
        <v>0.32048132225887577</v>
      </c>
      <c r="B3">
        <v>0</v>
      </c>
      <c r="C3">
        <v>0.10597013059983816</v>
      </c>
      <c r="D3">
        <v>0.11130065701114572</v>
      </c>
      <c r="E3">
        <v>0.69069083850388358</v>
      </c>
      <c r="F3">
        <v>0.52343636840100505</v>
      </c>
      <c r="G3">
        <v>0.63081303040890768</v>
      </c>
      <c r="H3">
        <v>0.56321487965007999</v>
      </c>
      <c r="I3">
        <v>0.64011587541385384</v>
      </c>
      <c r="J3">
        <v>0.30419887675148416</v>
      </c>
    </row>
    <row r="4" spans="1:10" x14ac:dyDescent="0.3">
      <c r="A4">
        <v>0.25024596922499165</v>
      </c>
      <c r="B4">
        <v>0.10597013059983816</v>
      </c>
      <c r="C4">
        <v>0</v>
      </c>
      <c r="D4">
        <v>9.2254948054180025E-2</v>
      </c>
      <c r="E4">
        <v>0.63960547963428971</v>
      </c>
      <c r="F4">
        <v>0.46487783401916105</v>
      </c>
      <c r="G4">
        <v>0.72794882066322519</v>
      </c>
      <c r="H4">
        <v>0.58044805169626279</v>
      </c>
      <c r="I4">
        <v>0.64371671637843619</v>
      </c>
      <c r="J4">
        <v>0.30839013477156119</v>
      </c>
    </row>
    <row r="5" spans="1:10" x14ac:dyDescent="0.3">
      <c r="A5">
        <v>0.34124168380913678</v>
      </c>
      <c r="B5">
        <v>0.11130065701114572</v>
      </c>
      <c r="C5">
        <v>9.2254948054180025E-2</v>
      </c>
      <c r="D5">
        <v>0</v>
      </c>
      <c r="E5">
        <v>0.73152226110681196</v>
      </c>
      <c r="F5">
        <v>0.55562943586990465</v>
      </c>
      <c r="G5">
        <v>0.73254277867844098</v>
      </c>
      <c r="H5">
        <v>0.65697954376616219</v>
      </c>
      <c r="I5">
        <v>0.72583769103762086</v>
      </c>
      <c r="J5">
        <v>0.38793563587151808</v>
      </c>
    </row>
    <row r="6" spans="1:10" x14ac:dyDescent="0.3">
      <c r="A6">
        <v>0.39330110690966424</v>
      </c>
      <c r="B6">
        <v>0.69069083850388358</v>
      </c>
      <c r="C6">
        <v>0.63960547963428971</v>
      </c>
      <c r="D6">
        <v>0.73152226110681196</v>
      </c>
      <c r="E6">
        <v>0</v>
      </c>
      <c r="F6">
        <v>0.17806064521966758</v>
      </c>
      <c r="G6">
        <v>1</v>
      </c>
      <c r="H6">
        <v>0.41967479058560486</v>
      </c>
      <c r="I6">
        <v>0.34777277504188892</v>
      </c>
      <c r="J6">
        <v>0.43522782222053341</v>
      </c>
    </row>
    <row r="7" spans="1:10" x14ac:dyDescent="0.3">
      <c r="A7">
        <v>0.21610458184004258</v>
      </c>
      <c r="B7">
        <v>0.52343636840100505</v>
      </c>
      <c r="C7">
        <v>0.46487783401916105</v>
      </c>
      <c r="D7">
        <v>0.55562943586990465</v>
      </c>
      <c r="E7">
        <v>0.17806064521966758</v>
      </c>
      <c r="F7">
        <v>0</v>
      </c>
      <c r="G7">
        <v>0.91240316425986423</v>
      </c>
      <c r="H7">
        <v>0.4016292444699866</v>
      </c>
      <c r="I7">
        <v>0.37440658138527921</v>
      </c>
      <c r="J7">
        <v>0.30588516547766581</v>
      </c>
    </row>
    <row r="8" spans="1:10" x14ac:dyDescent="0.3">
      <c r="A8">
        <v>0.81733318566375612</v>
      </c>
      <c r="B8">
        <v>0.63081303040890768</v>
      </c>
      <c r="C8">
        <v>0.72794882066322519</v>
      </c>
      <c r="D8">
        <v>0.73254277867844098</v>
      </c>
      <c r="E8">
        <v>1</v>
      </c>
      <c r="F8">
        <v>0.91240316425986423</v>
      </c>
      <c r="G8">
        <v>0</v>
      </c>
      <c r="H8">
        <v>0.60799192953214765</v>
      </c>
      <c r="I8">
        <v>0.71400702739261157</v>
      </c>
      <c r="J8">
        <v>0.61562828983237494</v>
      </c>
    </row>
    <row r="9" spans="1:10" x14ac:dyDescent="0.3">
      <c r="A9">
        <v>0.45346500469813661</v>
      </c>
      <c r="B9">
        <v>0.56321487965007999</v>
      </c>
      <c r="C9">
        <v>0.58044805169626279</v>
      </c>
      <c r="D9">
        <v>0.65697954376616219</v>
      </c>
      <c r="E9">
        <v>0.41967479058560486</v>
      </c>
      <c r="F9">
        <v>0.4016292444699866</v>
      </c>
      <c r="G9">
        <v>0.60799192953214765</v>
      </c>
      <c r="H9">
        <v>0</v>
      </c>
      <c r="I9">
        <v>0.10895425781142266</v>
      </c>
      <c r="J9">
        <v>0.27390475364511152</v>
      </c>
    </row>
    <row r="10" spans="1:10" x14ac:dyDescent="0.3">
      <c r="A10">
        <v>0.47781580738276686</v>
      </c>
      <c r="B10">
        <v>0.64011587541385384</v>
      </c>
      <c r="C10">
        <v>0.64371671637843619</v>
      </c>
      <c r="D10">
        <v>0.72583769103762086</v>
      </c>
      <c r="E10">
        <v>0.34777277504188892</v>
      </c>
      <c r="F10">
        <v>0.37440658138527921</v>
      </c>
      <c r="G10">
        <v>0.71400702739261157</v>
      </c>
      <c r="H10">
        <v>0.10895425781142266</v>
      </c>
      <c r="I10">
        <v>0</v>
      </c>
      <c r="J10">
        <v>0.33626454007377876</v>
      </c>
    </row>
    <row r="11" spans="1:10" x14ac:dyDescent="0.3">
      <c r="A11">
        <v>0.2211527511603171</v>
      </c>
      <c r="B11">
        <v>0.30419887675148416</v>
      </c>
      <c r="C11">
        <v>0.30839013477156119</v>
      </c>
      <c r="D11">
        <v>0.38793563587151808</v>
      </c>
      <c r="E11">
        <v>0.43522782222053341</v>
      </c>
      <c r="F11">
        <v>0.30588516547766581</v>
      </c>
      <c r="G11">
        <v>0.61562828983237494</v>
      </c>
      <c r="H11">
        <v>0.27390475364511152</v>
      </c>
      <c r="I11">
        <v>0.33626454007377876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AE653-B785-45DE-95D6-1FE4CA98EDE4}">
  <sheetPr>
    <tabColor theme="5" tint="-0.249977111117893"/>
  </sheetPr>
  <dimension ref="A1:K11"/>
  <sheetViews>
    <sheetView workbookViewId="0">
      <selection activeCell="H31" sqref="H31"/>
    </sheetView>
  </sheetViews>
  <sheetFormatPr defaultRowHeight="14.4" x14ac:dyDescent="0.3"/>
  <sheetData>
    <row r="1" spans="1:11" x14ac:dyDescent="0.3"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</row>
    <row r="2" spans="1:11" x14ac:dyDescent="0.3">
      <c r="A2" t="s">
        <v>10</v>
      </c>
      <c r="B2">
        <f>IF(PVL1_mtx_c!B2=0,0,PVL1_mtx_c!B2-3.28)</f>
        <v>0</v>
      </c>
      <c r="C2">
        <f>IF(PVL1_mtx_c!C2=0,0,PVL1_mtx_c!C2-3.28)</f>
        <v>9.5106215642555867</v>
      </c>
      <c r="D2">
        <f>IF(PVL1_mtx_c!D2=0,0,PVL1_mtx_c!D2-3.28)</f>
        <v>6.7074821651905854</v>
      </c>
      <c r="E2">
        <f>IF(PVL1_mtx_c!E2=0,0,PVL1_mtx_c!E2-3.28)</f>
        <v>10.33918132634998</v>
      </c>
      <c r="F2">
        <f>IF(PVL1_mtx_c!F2=0,0,PVL1_mtx_c!F2-3.28)</f>
        <v>12.416907338708477</v>
      </c>
      <c r="G2">
        <f>IF(PVL1_mtx_c!G2=0,0,PVL1_mtx_c!G2-3.28)</f>
        <v>5.3448768107144584</v>
      </c>
      <c r="H2">
        <f>IF(PVL1_mtx_c!H2=0,0,PVL1_mtx_c!H2-3.28)</f>
        <v>29.340308091739416</v>
      </c>
      <c r="I2">
        <f>IF(PVL1_mtx_c!I2=0,0,PVL1_mtx_c!I2-3.28)</f>
        <v>14.818088296834004</v>
      </c>
      <c r="J2">
        <f>IF(PVL1_mtx_c!J2=0,0,PVL1_mtx_c!J2-3.28)</f>
        <v>15.789944939616371</v>
      </c>
      <c r="K2">
        <f>IF(PVL1_mtx_c!K2=0,0,PVL1_mtx_c!K2-3.28)</f>
        <v>5.5463525875641295</v>
      </c>
    </row>
    <row r="3" spans="1:11" x14ac:dyDescent="0.3">
      <c r="A3" t="s">
        <v>11</v>
      </c>
      <c r="B3">
        <f>IF(PVL1_mtx_c!B3=0,0,PVL1_mtx_c!B3-3.28)</f>
        <v>9.5106215642555867</v>
      </c>
      <c r="C3">
        <f>IF(PVL1_mtx_c!C3=0,0,PVL1_mtx_c!C3-3.28)</f>
        <v>0</v>
      </c>
      <c r="D3">
        <f>IF(PVL1_mtx_c!D3=0,0,PVL1_mtx_c!D3-3.28)</f>
        <v>0.94933800966534188</v>
      </c>
      <c r="E3">
        <f>IF(PVL1_mtx_c!E3=0,0,PVL1_mtx_c!E3-3.28)</f>
        <v>1.1620828447925198</v>
      </c>
      <c r="F3">
        <f>IF(PVL1_mtx_c!F3=0,0,PVL1_mtx_c!F3-3.28)</f>
        <v>24.285928244846026</v>
      </c>
      <c r="G3">
        <f>IF(PVL1_mtx_c!G3=0,0,PVL1_mtx_c!G3-3.28)</f>
        <v>17.610691707073752</v>
      </c>
      <c r="H3">
        <f>IF(PVL1_mtx_c!H3=0,0,PVL1_mtx_c!H3-3.28)</f>
        <v>21.896165315631372</v>
      </c>
      <c r="I3">
        <f>IF(PVL1_mtx_c!I3=0,0,PVL1_mtx_c!I3-3.28)</f>
        <v>19.198278403827995</v>
      </c>
      <c r="J3">
        <f>IF(PVL1_mtx_c!J3=0,0,PVL1_mtx_c!J3-3.28)</f>
        <v>22.267448013451361</v>
      </c>
      <c r="K3">
        <f>IF(PVL1_mtx_c!K3=0,0,PVL1_mtx_c!K3-3.28)</f>
        <v>8.8607783934968527</v>
      </c>
    </row>
    <row r="4" spans="1:11" x14ac:dyDescent="0.3">
      <c r="A4" t="s">
        <v>12</v>
      </c>
      <c r="B4">
        <f>IF(PVL1_mtx_c!B4=0,0,PVL1_mtx_c!B4-3.28)</f>
        <v>6.7074821651905854</v>
      </c>
      <c r="C4">
        <f>IF(PVL1_mtx_c!C4=0,0,PVL1_mtx_c!C4-3.28)</f>
        <v>0.94933800966534188</v>
      </c>
      <c r="D4">
        <f>IF(PVL1_mtx_c!D4=0,0,PVL1_mtx_c!D4-3.28)</f>
        <v>0</v>
      </c>
      <c r="E4">
        <f>IF(PVL1_mtx_c!E4=0,0,PVL1_mtx_c!E4-3.28)</f>
        <v>0.4019560019098547</v>
      </c>
      <c r="F4">
        <f>IF(PVL1_mtx_c!F4=0,0,PVL1_mtx_c!F4-3.28)</f>
        <v>22.247077780270892</v>
      </c>
      <c r="G4">
        <f>IF(PVL1_mtx_c!G4=0,0,PVL1_mtx_c!G4-3.28)</f>
        <v>15.273581864427149</v>
      </c>
      <c r="H4">
        <f>IF(PVL1_mtx_c!H4=0,0,PVL1_mtx_c!H4-3.28)</f>
        <v>25.772918958342206</v>
      </c>
      <c r="I4">
        <f>IF(PVL1_mtx_c!I4=0,0,PVL1_mtx_c!I4-3.28)</f>
        <v>19.886065699639204</v>
      </c>
      <c r="J4">
        <f>IF(PVL1_mtx_c!J4=0,0,PVL1_mtx_c!J4-3.28)</f>
        <v>22.411159958242447</v>
      </c>
      <c r="K4">
        <f>IF(PVL1_mtx_c!K4=0,0,PVL1_mtx_c!K4-3.28)</f>
        <v>9.0280542735234963</v>
      </c>
    </row>
    <row r="5" spans="1:11" x14ac:dyDescent="0.3">
      <c r="A5" t="s">
        <v>13</v>
      </c>
      <c r="B5">
        <f>IF(PVL1_mtx_c!B5=0,0,PVL1_mtx_c!B5-3.28)</f>
        <v>10.33918132634998</v>
      </c>
      <c r="C5">
        <f>IF(PVL1_mtx_c!C5=0,0,PVL1_mtx_c!C5-3.28)</f>
        <v>1.1620828447925198</v>
      </c>
      <c r="D5">
        <f>IF(PVL1_mtx_c!D5=0,0,PVL1_mtx_c!D5-3.28)</f>
        <v>0.4019560019098547</v>
      </c>
      <c r="E5">
        <f>IF(PVL1_mtx_c!E5=0,0,PVL1_mtx_c!E5-3.28)</f>
        <v>0</v>
      </c>
      <c r="F5">
        <f>IF(PVL1_mtx_c!F5=0,0,PVL1_mtx_c!F5-3.28)</f>
        <v>25.915537330215383</v>
      </c>
      <c r="G5">
        <f>IF(PVL1_mtx_c!G5=0,0,PVL1_mtx_c!G5-3.28)</f>
        <v>18.895538324920096</v>
      </c>
      <c r="H5">
        <f>IF(PVL1_mtx_c!H5=0,0,PVL1_mtx_c!H5-3.28)</f>
        <v>25.956266861553988</v>
      </c>
      <c r="I5">
        <f>IF(PVL1_mtx_c!I5=0,0,PVL1_mtx_c!I5-3.28)</f>
        <v>22.940488172419673</v>
      </c>
      <c r="J5">
        <f>IF(PVL1_mtx_c!J5=0,0,PVL1_mtx_c!J5-3.28)</f>
        <v>25.688662378508258</v>
      </c>
      <c r="K5">
        <f>IF(PVL1_mtx_c!K5=0,0,PVL1_mtx_c!K5-3.28)</f>
        <v>12.202767840408898</v>
      </c>
    </row>
    <row r="6" spans="1:11" x14ac:dyDescent="0.3">
      <c r="A6" t="s">
        <v>14</v>
      </c>
      <c r="B6">
        <f>IF(PVL1_mtx_c!B6=0,0,PVL1_mtx_c!B6-3.28)</f>
        <v>12.416907338708477</v>
      </c>
      <c r="C6">
        <f>IF(PVL1_mtx_c!C6=0,0,PVL1_mtx_c!C6-3.28)</f>
        <v>24.285928244846026</v>
      </c>
      <c r="D6">
        <f>IF(PVL1_mtx_c!D6=0,0,PVL1_mtx_c!D6-3.28)</f>
        <v>22.247077780270892</v>
      </c>
      <c r="E6">
        <f>IF(PVL1_mtx_c!E6=0,0,PVL1_mtx_c!E6-3.28)</f>
        <v>25.915537330215383</v>
      </c>
      <c r="F6">
        <f>IF(PVL1_mtx_c!F6=0,0,PVL1_mtx_c!F6-3.28)</f>
        <v>0</v>
      </c>
      <c r="G6">
        <f>IF(PVL1_mtx_c!G6=0,0,PVL1_mtx_c!G6-3.28)</f>
        <v>3.8265181347830253</v>
      </c>
      <c r="H6">
        <f>IF(PVL1_mtx_c!H6=0,0,PVL1_mtx_c!H6-3.28)</f>
        <v>36.630661482866955</v>
      </c>
      <c r="I6">
        <f>IF(PVL1_mtx_c!I6=0,0,PVL1_mtx_c!I6-3.28)</f>
        <v>13.469498499955156</v>
      </c>
      <c r="J6">
        <f>IF(PVL1_mtx_c!J6=0,0,PVL1_mtx_c!J6-3.28)</f>
        <v>10.59984149765407</v>
      </c>
      <c r="K6">
        <f>IF(PVL1_mtx_c!K6=0,0,PVL1_mtx_c!K6-3.28)</f>
        <v>14.090230280569111</v>
      </c>
    </row>
    <row r="7" spans="1:11" x14ac:dyDescent="0.3">
      <c r="A7" t="s">
        <v>15</v>
      </c>
      <c r="B7">
        <f>IF(PVL1_mtx_c!B7=0,0,PVL1_mtx_c!B7-3.28)</f>
        <v>5.3448768107144584</v>
      </c>
      <c r="C7">
        <f>IF(PVL1_mtx_c!C7=0,0,PVL1_mtx_c!C7-3.28)</f>
        <v>17.610691707073752</v>
      </c>
      <c r="D7">
        <f>IF(PVL1_mtx_c!D7=0,0,PVL1_mtx_c!D7-3.28)</f>
        <v>15.273581864427149</v>
      </c>
      <c r="E7">
        <f>IF(PVL1_mtx_c!E7=0,0,PVL1_mtx_c!E7-3.28)</f>
        <v>18.895538324920096</v>
      </c>
      <c r="F7">
        <f>IF(PVL1_mtx_c!F7=0,0,PVL1_mtx_c!F7-3.28)</f>
        <v>3.8265181347830253</v>
      </c>
      <c r="G7">
        <f>IF(PVL1_mtx_c!G7=0,0,PVL1_mtx_c!G7-3.28)</f>
        <v>0</v>
      </c>
      <c r="H7">
        <f>IF(PVL1_mtx_c!H7=0,0,PVL1_mtx_c!H7-3.28)</f>
        <v>33.134613824672094</v>
      </c>
      <c r="I7">
        <f>IF(PVL1_mtx_c!I7=0,0,PVL1_mtx_c!I7-3.28)</f>
        <v>12.749288817661251</v>
      </c>
      <c r="J7">
        <f>IF(PVL1_mtx_c!J7=0,0,PVL1_mtx_c!J7-3.28)</f>
        <v>11.662814326625357</v>
      </c>
      <c r="K7">
        <f>IF(PVL1_mtx_c!K7=0,0,PVL1_mtx_c!K7-3.28)</f>
        <v>8.9280792920098619</v>
      </c>
    </row>
    <row r="8" spans="1:11" x14ac:dyDescent="0.3">
      <c r="A8" t="s">
        <v>16</v>
      </c>
      <c r="B8">
        <f>IF(PVL1_mtx_c!B8=0,0,PVL1_mtx_c!B8-3.28)</f>
        <v>29.340308091739416</v>
      </c>
      <c r="C8">
        <f>IF(PVL1_mtx_c!C8=0,0,PVL1_mtx_c!C8-3.28)</f>
        <v>21.896165315631372</v>
      </c>
      <c r="D8">
        <f>IF(PVL1_mtx_c!D8=0,0,PVL1_mtx_c!D8-3.28)</f>
        <v>25.772918958342206</v>
      </c>
      <c r="E8">
        <f>IF(PVL1_mtx_c!E8=0,0,PVL1_mtx_c!E8-3.28)</f>
        <v>25.956266861553988</v>
      </c>
      <c r="F8">
        <f>IF(PVL1_mtx_c!F8=0,0,PVL1_mtx_c!F8-3.28)</f>
        <v>36.630661482866955</v>
      </c>
      <c r="G8">
        <f>IF(PVL1_mtx_c!G8=0,0,PVL1_mtx_c!G8-3.28)</f>
        <v>33.134613824672094</v>
      </c>
      <c r="H8">
        <f>IF(PVL1_mtx_c!H8=0,0,PVL1_mtx_c!H8-3.28)</f>
        <v>0</v>
      </c>
      <c r="I8">
        <f>IF(PVL1_mtx_c!I8=0,0,PVL1_mtx_c!I8-3.28)</f>
        <v>20.985360083872646</v>
      </c>
      <c r="J8">
        <f>IF(PVL1_mtx_c!J8=0,0,PVL1_mtx_c!J8-3.28)</f>
        <v>25.216492766654635</v>
      </c>
      <c r="K8">
        <f>IF(PVL1_mtx_c!K8=0,0,PVL1_mtx_c!K8-3.28)</f>
        <v>21.290132274776219</v>
      </c>
    </row>
    <row r="9" spans="1:11" x14ac:dyDescent="0.3">
      <c r="A9" t="s">
        <v>17</v>
      </c>
      <c r="B9">
        <f>IF(PVL1_mtx_c!B9=0,0,PVL1_mtx_c!B9-3.28)</f>
        <v>14.818088296834004</v>
      </c>
      <c r="C9">
        <f>IF(PVL1_mtx_c!C9=0,0,PVL1_mtx_c!C9-3.28)</f>
        <v>19.198278403827995</v>
      </c>
      <c r="D9">
        <f>IF(PVL1_mtx_c!D9=0,0,PVL1_mtx_c!D9-3.28)</f>
        <v>19.886065699639204</v>
      </c>
      <c r="E9">
        <f>IF(PVL1_mtx_c!E9=0,0,PVL1_mtx_c!E9-3.28)</f>
        <v>22.940488172419673</v>
      </c>
      <c r="F9">
        <f>IF(PVL1_mtx_c!F9=0,0,PVL1_mtx_c!F9-3.28)</f>
        <v>13.469498499955156</v>
      </c>
      <c r="G9">
        <f>IF(PVL1_mtx_c!G9=0,0,PVL1_mtx_c!G9-3.28)</f>
        <v>12.749288817661251</v>
      </c>
      <c r="H9">
        <f>IF(PVL1_mtx_c!H9=0,0,PVL1_mtx_c!H9-3.28)</f>
        <v>20.985360083872646</v>
      </c>
      <c r="I9">
        <f>IF(PVL1_mtx_c!I9=0,0,PVL1_mtx_c!I9-3.28)</f>
        <v>0</v>
      </c>
      <c r="J9">
        <f>IF(PVL1_mtx_c!J9=0,0,PVL1_mtx_c!J9-3.28)</f>
        <v>1.0684365006287027</v>
      </c>
      <c r="K9">
        <f>IF(PVL1_mtx_c!K9=0,0,PVL1_mtx_c!K9-3.28)</f>
        <v>7.6517199012781152</v>
      </c>
    </row>
    <row r="10" spans="1:11" x14ac:dyDescent="0.3">
      <c r="A10" t="s">
        <v>18</v>
      </c>
      <c r="B10">
        <f>IF(PVL1_mtx_c!B10=0,0,PVL1_mtx_c!B10-3.28)</f>
        <v>15.789944939616371</v>
      </c>
      <c r="C10">
        <f>IF(PVL1_mtx_c!C10=0,0,PVL1_mtx_c!C10-3.28)</f>
        <v>22.267448013451361</v>
      </c>
      <c r="D10">
        <f>IF(PVL1_mtx_c!D10=0,0,PVL1_mtx_c!D10-3.28)</f>
        <v>22.411159958242447</v>
      </c>
      <c r="E10">
        <f>IF(PVL1_mtx_c!E10=0,0,PVL1_mtx_c!E10-3.28)</f>
        <v>25.688662378508258</v>
      </c>
      <c r="F10">
        <f>IF(PVL1_mtx_c!F10=0,0,PVL1_mtx_c!F10-3.28)</f>
        <v>10.59984149765407</v>
      </c>
      <c r="G10">
        <f>IF(PVL1_mtx_c!G10=0,0,PVL1_mtx_c!G10-3.28)</f>
        <v>11.662814326625357</v>
      </c>
      <c r="H10">
        <f>IF(PVL1_mtx_c!H10=0,0,PVL1_mtx_c!H10-3.28)</f>
        <v>25.216492766654635</v>
      </c>
      <c r="I10">
        <f>IF(PVL1_mtx_c!I10=0,0,PVL1_mtx_c!I10-3.28)</f>
        <v>1.0684365006287027</v>
      </c>
      <c r="J10">
        <f>IF(PVL1_mtx_c!J10=0,0,PVL1_mtx_c!J10-3.28)</f>
        <v>0</v>
      </c>
      <c r="K10">
        <f>IF(PVL1_mtx_c!K10=0,0,PVL1_mtx_c!K10-3.28)</f>
        <v>10.140540227576535</v>
      </c>
    </row>
    <row r="11" spans="1:11" x14ac:dyDescent="0.3">
      <c r="A11" t="s">
        <v>19</v>
      </c>
      <c r="B11">
        <f>IF(PVL1_mtx_c!B11=0,0,PVL1_mtx_c!B11-3.28)</f>
        <v>5.5463525875641295</v>
      </c>
      <c r="C11">
        <f>IF(PVL1_mtx_c!C11=0,0,PVL1_mtx_c!C11-3.28)</f>
        <v>8.8607783934968527</v>
      </c>
      <c r="D11">
        <f>IF(PVL1_mtx_c!D11=0,0,PVL1_mtx_c!D11-3.28)</f>
        <v>9.0280542735234963</v>
      </c>
      <c r="E11">
        <f>IF(PVL1_mtx_c!E11=0,0,PVL1_mtx_c!E11-3.28)</f>
        <v>12.202767840408898</v>
      </c>
      <c r="F11">
        <f>IF(PVL1_mtx_c!F11=0,0,PVL1_mtx_c!F11-3.28)</f>
        <v>14.090230280569111</v>
      </c>
      <c r="G11">
        <f>IF(PVL1_mtx_c!G11=0,0,PVL1_mtx_c!G11-3.28)</f>
        <v>8.9280792920098619</v>
      </c>
      <c r="H11">
        <f>IF(PVL1_mtx_c!H11=0,0,PVL1_mtx_c!H11-3.28)</f>
        <v>21.290132274776219</v>
      </c>
      <c r="I11">
        <f>IF(PVL1_mtx_c!I11=0,0,PVL1_mtx_c!I11-3.28)</f>
        <v>7.6517199012781152</v>
      </c>
      <c r="J11">
        <f>IF(PVL1_mtx_c!J11=0,0,PVL1_mtx_c!J11-3.28)</f>
        <v>10.140540227576535</v>
      </c>
      <c r="K11">
        <f>IF(PVL1_mtx_c!K11=0,0,PVL1_mtx_c!K11-3.28)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D47C0-86F6-4C45-9269-6336FB6F9EEE}">
  <sheetPr>
    <tabColor theme="5" tint="-0.249977111117893"/>
  </sheetPr>
  <dimension ref="A1:K11"/>
  <sheetViews>
    <sheetView workbookViewId="0">
      <selection activeCell="H31" sqref="H31"/>
    </sheetView>
  </sheetViews>
  <sheetFormatPr defaultRowHeight="14.4" x14ac:dyDescent="0.3"/>
  <cols>
    <col min="1" max="1" width="6.88671875" customWidth="1"/>
  </cols>
  <sheetData>
    <row r="1" spans="1:11" x14ac:dyDescent="0.3"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</row>
    <row r="2" spans="1:11" x14ac:dyDescent="0.3">
      <c r="A2" t="s">
        <v>10</v>
      </c>
      <c r="B2">
        <v>0</v>
      </c>
      <c r="C2">
        <v>0.25963553971592718</v>
      </c>
      <c r="D2">
        <v>0.18311113951157656</v>
      </c>
      <c r="E2">
        <v>0.28225483537025026</v>
      </c>
      <c r="F2">
        <v>0.33897578793427369</v>
      </c>
      <c r="G2">
        <v>0.14591264788418812</v>
      </c>
      <c r="H2">
        <v>0.80097674745684255</v>
      </c>
      <c r="I2">
        <v>0.40452690988844908</v>
      </c>
      <c r="J2">
        <v>0.431058143653827</v>
      </c>
      <c r="K2">
        <v>0.15141284276720726</v>
      </c>
    </row>
    <row r="3" spans="1:11" x14ac:dyDescent="0.3">
      <c r="A3" t="s">
        <v>11</v>
      </c>
      <c r="B3">
        <v>0.25963553971592718</v>
      </c>
      <c r="C3">
        <v>0</v>
      </c>
      <c r="D3">
        <v>2.5916485567954325E-2</v>
      </c>
      <c r="E3">
        <v>3.1724320494077182E-2</v>
      </c>
      <c r="F3">
        <v>0.6629945314038389</v>
      </c>
      <c r="G3">
        <v>0.48076368250436036</v>
      </c>
      <c r="H3">
        <v>0.5977551163216841</v>
      </c>
      <c r="I3">
        <v>0.52410406000469012</v>
      </c>
      <c r="J3">
        <v>0.60789096107004192</v>
      </c>
      <c r="K3">
        <v>0.24189512377878442</v>
      </c>
    </row>
    <row r="4" spans="1:11" x14ac:dyDescent="0.3">
      <c r="A4" t="s">
        <v>12</v>
      </c>
      <c r="B4">
        <v>0.18311113951157656</v>
      </c>
      <c r="C4">
        <v>2.5916485567954325E-2</v>
      </c>
      <c r="D4">
        <v>0</v>
      </c>
      <c r="E4">
        <v>1.097321166580241E-2</v>
      </c>
      <c r="F4">
        <v>0.60733486319040098</v>
      </c>
      <c r="G4">
        <v>0.41696167216557012</v>
      </c>
      <c r="H4">
        <v>0.70358868540762831</v>
      </c>
      <c r="I4">
        <v>0.5428803328856181</v>
      </c>
      <c r="J4">
        <v>0.611814230237821</v>
      </c>
      <c r="K4">
        <v>0.24646167740503772</v>
      </c>
    </row>
    <row r="5" spans="1:11" x14ac:dyDescent="0.3">
      <c r="A5" t="s">
        <v>13</v>
      </c>
      <c r="B5">
        <v>0.28225483537025026</v>
      </c>
      <c r="C5">
        <v>3.1724320494077182E-2</v>
      </c>
      <c r="D5">
        <v>1.097321166580241E-2</v>
      </c>
      <c r="E5">
        <v>0</v>
      </c>
      <c r="F5">
        <v>0.70748210054401295</v>
      </c>
      <c r="G5">
        <v>0.51583939683311464</v>
      </c>
      <c r="H5">
        <v>0.70859399778227761</v>
      </c>
      <c r="I5">
        <v>0.62626464398273274</v>
      </c>
      <c r="J5">
        <v>0.70128852001549213</v>
      </c>
      <c r="K5">
        <v>0.33312987935302307</v>
      </c>
    </row>
    <row r="6" spans="1:11" x14ac:dyDescent="0.3">
      <c r="A6" t="s">
        <v>14</v>
      </c>
      <c r="B6">
        <v>0.33897578793427369</v>
      </c>
      <c r="C6">
        <v>0.6629945314038389</v>
      </c>
      <c r="D6">
        <v>0.60733486319040098</v>
      </c>
      <c r="E6">
        <v>0.70748210054401295</v>
      </c>
      <c r="F6">
        <v>0</v>
      </c>
      <c r="G6">
        <v>0.10446216311361946</v>
      </c>
      <c r="H6">
        <v>1</v>
      </c>
      <c r="I6">
        <v>0.36771103645658065</v>
      </c>
      <c r="J6">
        <v>0.28937073666037594</v>
      </c>
      <c r="K6">
        <v>0.38465672499961412</v>
      </c>
    </row>
    <row r="7" spans="1:11" x14ac:dyDescent="0.3">
      <c r="A7" t="s">
        <v>15</v>
      </c>
      <c r="B7">
        <v>0.14591264788418812</v>
      </c>
      <c r="C7">
        <v>0.48076368250436036</v>
      </c>
      <c r="D7">
        <v>0.41696167216557012</v>
      </c>
      <c r="E7">
        <v>0.51583939683311464</v>
      </c>
      <c r="F7">
        <v>0.10446216311361946</v>
      </c>
      <c r="G7">
        <v>0</v>
      </c>
      <c r="H7">
        <v>0.90455952700089659</v>
      </c>
      <c r="I7">
        <v>0.3480496475234115</v>
      </c>
      <c r="J7">
        <v>0.31838939987694015</v>
      </c>
      <c r="K7">
        <v>0.24373240696692688</v>
      </c>
    </row>
    <row r="8" spans="1:11" x14ac:dyDescent="0.3">
      <c r="A8" t="s">
        <v>16</v>
      </c>
      <c r="B8">
        <v>0.80097674745684255</v>
      </c>
      <c r="C8">
        <v>0.5977551163216841</v>
      </c>
      <c r="D8">
        <v>0.70358868540762831</v>
      </c>
      <c r="E8">
        <v>0.70859399778227761</v>
      </c>
      <c r="F8">
        <v>1</v>
      </c>
      <c r="G8">
        <v>0.90455952700089659</v>
      </c>
      <c r="H8">
        <v>0</v>
      </c>
      <c r="I8">
        <v>0.57289055764630414</v>
      </c>
      <c r="J8">
        <v>0.68839850949590409</v>
      </c>
      <c r="K8">
        <v>0.58121069652903012</v>
      </c>
    </row>
    <row r="9" spans="1:11" x14ac:dyDescent="0.3">
      <c r="A9" t="s">
        <v>17</v>
      </c>
      <c r="B9">
        <v>0.40452690988844908</v>
      </c>
      <c r="C9">
        <v>0.52410406000469012</v>
      </c>
      <c r="D9">
        <v>0.5428803328856181</v>
      </c>
      <c r="E9">
        <v>0.62626464398273274</v>
      </c>
      <c r="F9">
        <v>0.36771103645658065</v>
      </c>
      <c r="G9">
        <v>0.3480496475234115</v>
      </c>
      <c r="H9">
        <v>0.57289055764630414</v>
      </c>
      <c r="I9">
        <v>0</v>
      </c>
      <c r="J9">
        <v>2.9167818908441941E-2</v>
      </c>
      <c r="K9">
        <v>0.20888838998599601</v>
      </c>
    </row>
    <row r="10" spans="1:11" x14ac:dyDescent="0.3">
      <c r="A10" t="s">
        <v>18</v>
      </c>
      <c r="B10">
        <v>0.431058143653827</v>
      </c>
      <c r="C10">
        <v>0.60789096107004192</v>
      </c>
      <c r="D10">
        <v>0.611814230237821</v>
      </c>
      <c r="E10">
        <v>0.70128852001549213</v>
      </c>
      <c r="F10">
        <v>0.28937073666037594</v>
      </c>
      <c r="G10">
        <v>0.31838939987694015</v>
      </c>
      <c r="H10">
        <v>0.68839850949590409</v>
      </c>
      <c r="I10">
        <v>2.9167818908441941E-2</v>
      </c>
      <c r="J10">
        <v>0</v>
      </c>
      <c r="K10">
        <v>0.27683202587863476</v>
      </c>
    </row>
    <row r="11" spans="1:11" x14ac:dyDescent="0.3">
      <c r="A11" t="s">
        <v>19</v>
      </c>
      <c r="B11">
        <v>0.15141284276720726</v>
      </c>
      <c r="C11">
        <v>0.24189512377878442</v>
      </c>
      <c r="D11">
        <v>0.24646167740503772</v>
      </c>
      <c r="E11">
        <v>0.33312987935302307</v>
      </c>
      <c r="F11">
        <v>0.38465672499961412</v>
      </c>
      <c r="G11">
        <v>0.24373240696692688</v>
      </c>
      <c r="H11">
        <v>0.58121069652903012</v>
      </c>
      <c r="I11">
        <v>0.20888838998599601</v>
      </c>
      <c r="J11">
        <v>0.27683202587863476</v>
      </c>
      <c r="K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332CD-27E1-487E-9664-F653291505CE}">
  <sheetPr>
    <tabColor theme="4" tint="-0.249977111117893"/>
  </sheetPr>
  <dimension ref="A1:G46"/>
  <sheetViews>
    <sheetView zoomScale="85" zoomScaleNormal="85" workbookViewId="0">
      <selection activeCell="G1" sqref="G1:G1048576"/>
    </sheetView>
  </sheetViews>
  <sheetFormatPr defaultRowHeight="14.4" x14ac:dyDescent="0.3"/>
  <cols>
    <col min="3" max="5" width="8.88671875" customWidth="1"/>
    <col min="8" max="8" width="16.6640625" bestFit="1" customWidth="1"/>
  </cols>
  <sheetData>
    <row r="1" spans="1:7" x14ac:dyDescent="0.3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27</v>
      </c>
      <c r="G1" t="s">
        <v>41</v>
      </c>
    </row>
    <row r="2" spans="1:7" x14ac:dyDescent="0.3">
      <c r="A2" t="s">
        <v>10</v>
      </c>
      <c r="B2" t="s">
        <v>11</v>
      </c>
      <c r="C2">
        <v>0.41</v>
      </c>
      <c r="D2">
        <v>19.59</v>
      </c>
      <c r="E2">
        <f t="shared" ref="E2:E46" si="0">SQRT(D2^2+C2^2)</f>
        <v>19.594289984584794</v>
      </c>
      <c r="F2">
        <v>19.594289984584794</v>
      </c>
      <c r="G2">
        <f>F2/MAX($F$2:$F$46)</f>
        <v>0.44085139886853086</v>
      </c>
    </row>
    <row r="3" spans="1:7" x14ac:dyDescent="0.3">
      <c r="A3" t="s">
        <v>10</v>
      </c>
      <c r="B3" t="s">
        <v>12</v>
      </c>
      <c r="C3">
        <v>0.11</v>
      </c>
      <c r="D3">
        <v>7.2</v>
      </c>
      <c r="E3">
        <f t="shared" si="0"/>
        <v>7.2008402287510869</v>
      </c>
      <c r="F3">
        <v>7.2008402287510869</v>
      </c>
      <c r="G3">
        <f t="shared" ref="G3:G46" si="1">F3/MAX($F$2:$F$46)</f>
        <v>0.16201150898405348</v>
      </c>
    </row>
    <row r="4" spans="1:7" x14ac:dyDescent="0.3">
      <c r="A4" t="s">
        <v>10</v>
      </c>
      <c r="B4" t="s">
        <v>13</v>
      </c>
      <c r="C4">
        <v>0</v>
      </c>
      <c r="D4">
        <v>11.45</v>
      </c>
      <c r="E4">
        <f t="shared" si="0"/>
        <v>11.45</v>
      </c>
      <c r="F4">
        <v>11.45</v>
      </c>
      <c r="G4">
        <f t="shared" si="1"/>
        <v>0.25761323941902664</v>
      </c>
    </row>
    <row r="5" spans="1:7" x14ac:dyDescent="0.3">
      <c r="A5" t="s">
        <v>10</v>
      </c>
      <c r="B5" t="s">
        <v>14</v>
      </c>
      <c r="C5">
        <v>13.12</v>
      </c>
      <c r="D5">
        <v>11.45</v>
      </c>
      <c r="E5">
        <f t="shared" si="0"/>
        <v>17.413698630675793</v>
      </c>
      <c r="F5">
        <v>17.413698630675793</v>
      </c>
      <c r="G5">
        <f t="shared" si="1"/>
        <v>0.39179033314542006</v>
      </c>
    </row>
    <row r="6" spans="1:7" x14ac:dyDescent="0.3">
      <c r="A6" t="s">
        <v>10</v>
      </c>
      <c r="B6" t="s">
        <v>15</v>
      </c>
      <c r="C6">
        <v>3.9</v>
      </c>
      <c r="D6">
        <v>0</v>
      </c>
      <c r="E6">
        <f t="shared" si="0"/>
        <v>3.9</v>
      </c>
      <c r="F6">
        <v>3.9</v>
      </c>
      <c r="G6">
        <f t="shared" si="1"/>
        <v>8.7745994212594228E-2</v>
      </c>
    </row>
    <row r="7" spans="1:7" x14ac:dyDescent="0.3">
      <c r="A7" t="s">
        <v>10</v>
      </c>
      <c r="B7" t="s">
        <v>16</v>
      </c>
      <c r="C7">
        <v>14.24</v>
      </c>
      <c r="D7">
        <v>23.21</v>
      </c>
      <c r="E7">
        <f t="shared" si="0"/>
        <v>27.230161586006059</v>
      </c>
      <c r="F7">
        <v>27.230161586006059</v>
      </c>
      <c r="G7">
        <f t="shared" si="1"/>
        <v>0.61265066690607528</v>
      </c>
    </row>
    <row r="8" spans="1:7" x14ac:dyDescent="0.3">
      <c r="A8" t="s">
        <v>10</v>
      </c>
      <c r="B8" t="s">
        <v>17</v>
      </c>
      <c r="C8">
        <v>4.83</v>
      </c>
      <c r="D8">
        <v>7.24</v>
      </c>
      <c r="E8">
        <f t="shared" si="0"/>
        <v>8.7032465206955951</v>
      </c>
      <c r="F8">
        <v>8.7032465206955951</v>
      </c>
      <c r="G8">
        <f t="shared" si="1"/>
        <v>0.19581410739377861</v>
      </c>
    </row>
    <row r="9" spans="1:7" x14ac:dyDescent="0.3">
      <c r="A9" t="s">
        <v>10</v>
      </c>
      <c r="B9" t="s">
        <v>18</v>
      </c>
      <c r="C9">
        <v>13.07</v>
      </c>
      <c r="D9">
        <v>7.26</v>
      </c>
      <c r="E9">
        <f t="shared" si="0"/>
        <v>14.951003310814965</v>
      </c>
      <c r="F9">
        <v>14.951003310814965</v>
      </c>
      <c r="G9">
        <f t="shared" si="1"/>
        <v>0.33638221794442236</v>
      </c>
    </row>
    <row r="10" spans="1:7" x14ac:dyDescent="0.3">
      <c r="A10" t="s">
        <v>10</v>
      </c>
      <c r="B10" t="s">
        <v>19</v>
      </c>
      <c r="C10">
        <v>3.9</v>
      </c>
      <c r="D10">
        <v>19.63</v>
      </c>
      <c r="E10">
        <f t="shared" si="0"/>
        <v>20.013667829760738</v>
      </c>
      <c r="F10">
        <v>20.013667829760738</v>
      </c>
      <c r="G10">
        <f t="shared" si="1"/>
        <v>0.45028696963153053</v>
      </c>
    </row>
    <row r="11" spans="1:7" x14ac:dyDescent="0.3">
      <c r="A11" t="s">
        <v>11</v>
      </c>
      <c r="B11" t="s">
        <v>12</v>
      </c>
      <c r="C11">
        <v>0.41</v>
      </c>
      <c r="D11">
        <v>12.43</v>
      </c>
      <c r="E11">
        <f t="shared" si="0"/>
        <v>12.436760028238867</v>
      </c>
      <c r="F11">
        <v>12.436760028238867</v>
      </c>
      <c r="G11">
        <f t="shared" si="1"/>
        <v>0.279814326528531</v>
      </c>
    </row>
    <row r="12" spans="1:7" x14ac:dyDescent="0.3">
      <c r="A12" t="s">
        <v>11</v>
      </c>
      <c r="B12" t="s">
        <v>13</v>
      </c>
      <c r="C12">
        <v>0.39</v>
      </c>
      <c r="D12">
        <v>8.18</v>
      </c>
      <c r="E12">
        <f t="shared" si="0"/>
        <v>8.1892917886713494</v>
      </c>
      <c r="F12">
        <v>8.1892917886713494</v>
      </c>
      <c r="G12">
        <f t="shared" si="1"/>
        <v>0.18425065381897479</v>
      </c>
    </row>
    <row r="13" spans="1:7" x14ac:dyDescent="0.3">
      <c r="A13" t="s">
        <v>11</v>
      </c>
      <c r="B13" t="s">
        <v>14</v>
      </c>
      <c r="C13">
        <v>12.71</v>
      </c>
      <c r="D13">
        <v>8.18</v>
      </c>
      <c r="E13">
        <f>SQRT(D13^2+C13^2)</f>
        <v>15.11477753723157</v>
      </c>
      <c r="F13">
        <v>15.11477753723157</v>
      </c>
      <c r="G13">
        <f t="shared" si="1"/>
        <v>0.34006696982219758</v>
      </c>
    </row>
    <row r="14" spans="1:7" x14ac:dyDescent="0.3">
      <c r="A14" t="s">
        <v>11</v>
      </c>
      <c r="B14" t="s">
        <v>15</v>
      </c>
      <c r="C14">
        <v>4.3099999999999996</v>
      </c>
      <c r="D14">
        <v>19.63</v>
      </c>
      <c r="E14">
        <f t="shared" si="0"/>
        <v>20.097586919826966</v>
      </c>
      <c r="F14">
        <v>20.097586919826966</v>
      </c>
      <c r="G14">
        <f t="shared" si="1"/>
        <v>0.45217506296262733</v>
      </c>
    </row>
    <row r="15" spans="1:7" x14ac:dyDescent="0.3">
      <c r="A15" t="s">
        <v>11</v>
      </c>
      <c r="B15" t="s">
        <v>16</v>
      </c>
      <c r="C15">
        <v>23.62</v>
      </c>
      <c r="D15">
        <v>33.86</v>
      </c>
      <c r="E15">
        <f t="shared" si="0"/>
        <v>41.284428057077406</v>
      </c>
      <c r="F15">
        <v>41.284428057077406</v>
      </c>
      <c r="G15">
        <f t="shared" si="1"/>
        <v>0.92885722701707107</v>
      </c>
    </row>
    <row r="16" spans="1:7" x14ac:dyDescent="0.3">
      <c r="A16" t="s">
        <v>11</v>
      </c>
      <c r="B16" t="s">
        <v>17</v>
      </c>
      <c r="C16">
        <v>4.42</v>
      </c>
      <c r="D16">
        <v>12.39</v>
      </c>
      <c r="E16">
        <f t="shared" si="0"/>
        <v>13.154790002124701</v>
      </c>
      <c r="F16">
        <v>13.154790002124701</v>
      </c>
      <c r="G16">
        <f t="shared" si="1"/>
        <v>0.29596926343444269</v>
      </c>
    </row>
    <row r="17" spans="1:7" x14ac:dyDescent="0.3">
      <c r="A17" t="s">
        <v>11</v>
      </c>
      <c r="B17" t="s">
        <v>18</v>
      </c>
      <c r="C17">
        <v>12.71</v>
      </c>
      <c r="D17">
        <v>12.45</v>
      </c>
      <c r="E17">
        <f t="shared" si="0"/>
        <v>17.791756518118159</v>
      </c>
      <c r="F17">
        <v>17.791756518118159</v>
      </c>
      <c r="G17">
        <f t="shared" si="1"/>
        <v>0.40029624730017482</v>
      </c>
    </row>
    <row r="18" spans="1:7" x14ac:dyDescent="0.3">
      <c r="A18" t="s">
        <v>11</v>
      </c>
      <c r="B18" t="s">
        <v>19</v>
      </c>
      <c r="C18">
        <v>4.3099999999999996</v>
      </c>
      <c r="D18">
        <v>0</v>
      </c>
      <c r="E18">
        <f t="shared" si="0"/>
        <v>4.3099999999999996</v>
      </c>
      <c r="F18">
        <v>4.3099999999999996</v>
      </c>
      <c r="G18">
        <f t="shared" si="1"/>
        <v>9.6970573091354137E-2</v>
      </c>
    </row>
    <row r="19" spans="1:7" x14ac:dyDescent="0.3">
      <c r="A19" t="s">
        <v>12</v>
      </c>
      <c r="B19" t="s">
        <v>13</v>
      </c>
      <c r="C19">
        <v>0</v>
      </c>
      <c r="D19">
        <v>4.28</v>
      </c>
      <c r="E19">
        <f t="shared" si="0"/>
        <v>4.28</v>
      </c>
      <c r="F19">
        <v>4.28</v>
      </c>
      <c r="G19">
        <f t="shared" si="1"/>
        <v>9.6295603905103416E-2</v>
      </c>
    </row>
    <row r="20" spans="1:7" x14ac:dyDescent="0.3">
      <c r="A20" t="s">
        <v>12</v>
      </c>
      <c r="B20" t="s">
        <v>14</v>
      </c>
      <c r="C20">
        <v>13.12</v>
      </c>
      <c r="D20">
        <v>4.28</v>
      </c>
      <c r="E20">
        <f t="shared" si="0"/>
        <v>13.800463760323417</v>
      </c>
      <c r="F20">
        <v>13.800463760323417</v>
      </c>
      <c r="G20">
        <f t="shared" si="1"/>
        <v>0.31049625980627049</v>
      </c>
    </row>
    <row r="21" spans="1:7" x14ac:dyDescent="0.3">
      <c r="A21" t="s">
        <v>12</v>
      </c>
      <c r="B21" t="s">
        <v>15</v>
      </c>
      <c r="C21">
        <v>3.9</v>
      </c>
      <c r="D21">
        <v>7.17</v>
      </c>
      <c r="E21">
        <f t="shared" si="0"/>
        <v>8.1620401861299356</v>
      </c>
      <c r="F21">
        <v>8.1620401861299356</v>
      </c>
      <c r="G21">
        <f t="shared" si="1"/>
        <v>0.1836375207525946</v>
      </c>
    </row>
    <row r="22" spans="1:7" x14ac:dyDescent="0.3">
      <c r="A22" t="s">
        <v>12</v>
      </c>
      <c r="B22" t="s">
        <v>16</v>
      </c>
      <c r="C22">
        <v>23.21</v>
      </c>
      <c r="D22">
        <v>21.41</v>
      </c>
      <c r="E22">
        <f t="shared" si="0"/>
        <v>31.576766775589931</v>
      </c>
      <c r="F22">
        <v>31.576766775589931</v>
      </c>
      <c r="G22">
        <f t="shared" si="1"/>
        <v>0.71044481916496205</v>
      </c>
    </row>
    <row r="23" spans="1:7" x14ac:dyDescent="0.3">
      <c r="A23" t="s">
        <v>12</v>
      </c>
      <c r="B23" t="s">
        <v>17</v>
      </c>
      <c r="C23">
        <v>4.83</v>
      </c>
      <c r="D23">
        <v>7.0000000000000007E-2</v>
      </c>
      <c r="E23">
        <f t="shared" si="0"/>
        <v>4.8305072197441126</v>
      </c>
      <c r="F23">
        <v>4.8305072197441126</v>
      </c>
      <c r="G23">
        <f t="shared" si="1"/>
        <v>0.10868145090963117</v>
      </c>
    </row>
    <row r="24" spans="1:7" x14ac:dyDescent="0.3">
      <c r="A24" t="s">
        <v>12</v>
      </c>
      <c r="B24" t="s">
        <v>18</v>
      </c>
      <c r="C24">
        <v>13.12</v>
      </c>
      <c r="D24">
        <v>0</v>
      </c>
      <c r="E24">
        <f t="shared" si="0"/>
        <v>13.12</v>
      </c>
      <c r="F24">
        <v>13.12</v>
      </c>
      <c r="G24">
        <f t="shared" si="1"/>
        <v>0.29518652412031698</v>
      </c>
    </row>
    <row r="25" spans="1:7" x14ac:dyDescent="0.3">
      <c r="A25" t="s">
        <v>12</v>
      </c>
      <c r="B25" t="s">
        <v>19</v>
      </c>
      <c r="C25">
        <v>3.9</v>
      </c>
      <c r="D25">
        <v>12.47</v>
      </c>
      <c r="E25">
        <f t="shared" si="0"/>
        <v>13.065638139792485</v>
      </c>
      <c r="F25">
        <v>13.065638139792485</v>
      </c>
      <c r="G25">
        <f t="shared" si="1"/>
        <v>0.29396343810207226</v>
      </c>
    </row>
    <row r="26" spans="1:7" x14ac:dyDescent="0.3">
      <c r="A26" t="s">
        <v>13</v>
      </c>
      <c r="B26" t="s">
        <v>14</v>
      </c>
      <c r="C26">
        <v>13.12</v>
      </c>
      <c r="D26">
        <v>0</v>
      </c>
      <c r="E26">
        <f t="shared" si="0"/>
        <v>13.12</v>
      </c>
      <c r="F26">
        <v>13.12</v>
      </c>
      <c r="G26">
        <f t="shared" si="1"/>
        <v>0.29518652412031698</v>
      </c>
    </row>
    <row r="27" spans="1:7" x14ac:dyDescent="0.3">
      <c r="A27" t="s">
        <v>13</v>
      </c>
      <c r="B27" t="s">
        <v>15</v>
      </c>
      <c r="C27">
        <v>3.9</v>
      </c>
      <c r="D27">
        <v>11.45</v>
      </c>
      <c r="E27">
        <f t="shared" si="0"/>
        <v>12.095970403402944</v>
      </c>
      <c r="F27">
        <v>12.095970403402944</v>
      </c>
      <c r="G27">
        <f t="shared" si="1"/>
        <v>0.27214691000325791</v>
      </c>
    </row>
    <row r="28" spans="1:7" x14ac:dyDescent="0.3">
      <c r="A28" t="s">
        <v>13</v>
      </c>
      <c r="B28" t="s">
        <v>16</v>
      </c>
      <c r="C28">
        <v>23.21</v>
      </c>
      <c r="D28">
        <v>25.69</v>
      </c>
      <c r="E28">
        <f t="shared" si="0"/>
        <v>34.621961238497164</v>
      </c>
      <c r="F28">
        <v>34.621961238497164</v>
      </c>
      <c r="G28">
        <f t="shared" si="1"/>
        <v>0.77895856678508568</v>
      </c>
    </row>
    <row r="29" spans="1:7" x14ac:dyDescent="0.3">
      <c r="A29" t="s">
        <v>13</v>
      </c>
      <c r="B29" t="s">
        <v>17</v>
      </c>
      <c r="C29">
        <v>4.83</v>
      </c>
      <c r="D29">
        <v>4.21</v>
      </c>
      <c r="E29">
        <f t="shared" si="0"/>
        <v>6.4072615055107587</v>
      </c>
      <c r="F29">
        <v>6.4072615055107587</v>
      </c>
      <c r="G29">
        <f t="shared" si="1"/>
        <v>0.14415680281567303</v>
      </c>
    </row>
    <row r="30" spans="1:7" x14ac:dyDescent="0.3">
      <c r="A30" t="s">
        <v>13</v>
      </c>
      <c r="B30" t="s">
        <v>18</v>
      </c>
      <c r="C30">
        <v>13.07</v>
      </c>
      <c r="D30">
        <v>4.21</v>
      </c>
      <c r="E30">
        <f t="shared" si="0"/>
        <v>13.731314576543646</v>
      </c>
      <c r="F30">
        <v>13.731314576543646</v>
      </c>
      <c r="G30">
        <f t="shared" si="1"/>
        <v>0.3089404741960794</v>
      </c>
    </row>
    <row r="31" spans="1:7" x14ac:dyDescent="0.3">
      <c r="A31" t="s">
        <v>13</v>
      </c>
      <c r="B31" t="s">
        <v>19</v>
      </c>
      <c r="C31">
        <v>3.9</v>
      </c>
      <c r="D31">
        <v>8.19</v>
      </c>
      <c r="E31">
        <f t="shared" si="0"/>
        <v>9.0711686126981448</v>
      </c>
      <c r="F31">
        <v>9.0711686126981448</v>
      </c>
      <c r="G31">
        <f t="shared" si="1"/>
        <v>0.20409197656186612</v>
      </c>
    </row>
    <row r="32" spans="1:7" x14ac:dyDescent="0.3">
      <c r="A32" t="s">
        <v>14</v>
      </c>
      <c r="B32" t="s">
        <v>15</v>
      </c>
      <c r="C32">
        <v>16.96</v>
      </c>
      <c r="D32">
        <v>11.45</v>
      </c>
      <c r="E32">
        <f t="shared" si="0"/>
        <v>20.463237769228993</v>
      </c>
      <c r="F32">
        <v>20.463237769228993</v>
      </c>
      <c r="G32">
        <f t="shared" si="1"/>
        <v>0.46040183150505304</v>
      </c>
    </row>
    <row r="33" spans="1:7" x14ac:dyDescent="0.3">
      <c r="A33" t="s">
        <v>14</v>
      </c>
      <c r="B33" t="s">
        <v>16</v>
      </c>
      <c r="C33">
        <v>36.270000000000003</v>
      </c>
      <c r="D33">
        <v>25.69</v>
      </c>
      <c r="E33">
        <f t="shared" si="0"/>
        <v>44.446473425908607</v>
      </c>
      <c r="F33">
        <v>44.446473425908607</v>
      </c>
      <c r="G33">
        <f t="shared" si="1"/>
        <v>1</v>
      </c>
    </row>
    <row r="34" spans="1:7" x14ac:dyDescent="0.3">
      <c r="A34" t="s">
        <v>14</v>
      </c>
      <c r="B34" t="s">
        <v>17</v>
      </c>
      <c r="C34">
        <v>8.24</v>
      </c>
      <c r="D34">
        <v>4.21</v>
      </c>
      <c r="E34">
        <f t="shared" si="0"/>
        <v>9.2531994466778897</v>
      </c>
      <c r="F34">
        <v>9.2531994466778897</v>
      </c>
      <c r="G34">
        <f t="shared" si="1"/>
        <v>0.20818748335799442</v>
      </c>
    </row>
    <row r="35" spans="1:7" x14ac:dyDescent="0.3">
      <c r="A35" t="s">
        <v>14</v>
      </c>
      <c r="B35" t="s">
        <v>18</v>
      </c>
      <c r="C35">
        <v>0</v>
      </c>
      <c r="D35">
        <v>4.21</v>
      </c>
      <c r="E35">
        <f t="shared" si="0"/>
        <v>4.21</v>
      </c>
      <c r="F35">
        <v>4.21</v>
      </c>
      <c r="G35">
        <f t="shared" si="1"/>
        <v>9.4720675803851725E-2</v>
      </c>
    </row>
    <row r="36" spans="1:7" x14ac:dyDescent="0.3">
      <c r="A36" t="s">
        <v>14</v>
      </c>
      <c r="B36" t="s">
        <v>19</v>
      </c>
      <c r="C36">
        <v>16.96</v>
      </c>
      <c r="D36">
        <v>8.14</v>
      </c>
      <c r="E36">
        <f t="shared" si="0"/>
        <v>18.81226195862688</v>
      </c>
      <c r="F36">
        <v>18.81226195862688</v>
      </c>
      <c r="G36">
        <f t="shared" si="1"/>
        <v>0.42325657152499513</v>
      </c>
    </row>
    <row r="37" spans="1:7" x14ac:dyDescent="0.3">
      <c r="A37" t="s">
        <v>15</v>
      </c>
      <c r="B37" t="s">
        <v>16</v>
      </c>
      <c r="C37">
        <v>19.309999999999999</v>
      </c>
      <c r="D37">
        <v>14.24</v>
      </c>
      <c r="E37">
        <f>SQRT(D37^2+C37^2)</f>
        <v>23.99278433196114</v>
      </c>
      <c r="F37">
        <v>23.99278433196114</v>
      </c>
      <c r="G37">
        <f t="shared" si="1"/>
        <v>0.53981300388109843</v>
      </c>
    </row>
    <row r="38" spans="1:7" x14ac:dyDescent="0.3">
      <c r="A38" t="s">
        <v>15</v>
      </c>
      <c r="B38" t="s">
        <v>17</v>
      </c>
      <c r="C38">
        <v>8.7200000000000006</v>
      </c>
      <c r="D38">
        <v>7.24</v>
      </c>
      <c r="E38">
        <f t="shared" si="0"/>
        <v>11.33384312578924</v>
      </c>
      <c r="F38">
        <v>11.33384312578924</v>
      </c>
      <c r="G38">
        <f t="shared" si="1"/>
        <v>0.25499982905691115</v>
      </c>
    </row>
    <row r="39" spans="1:7" x14ac:dyDescent="0.3">
      <c r="A39" t="s">
        <v>15</v>
      </c>
      <c r="B39" t="s">
        <v>18</v>
      </c>
      <c r="C39">
        <v>17.02</v>
      </c>
      <c r="D39">
        <v>7.26</v>
      </c>
      <c r="E39">
        <f t="shared" si="0"/>
        <v>18.503729353835674</v>
      </c>
      <c r="F39">
        <v>18.503729353835674</v>
      </c>
      <c r="G39">
        <f t="shared" si="1"/>
        <v>0.41631490481873717</v>
      </c>
    </row>
    <row r="40" spans="1:7" x14ac:dyDescent="0.3">
      <c r="A40" t="s">
        <v>15</v>
      </c>
      <c r="B40" t="s">
        <v>19</v>
      </c>
      <c r="C40">
        <v>0</v>
      </c>
      <c r="D40">
        <v>19.63</v>
      </c>
      <c r="E40">
        <f t="shared" si="0"/>
        <v>19.63</v>
      </c>
      <c r="F40">
        <v>19.63</v>
      </c>
      <c r="G40">
        <f t="shared" si="1"/>
        <v>0.4416548375367243</v>
      </c>
    </row>
    <row r="41" spans="1:7" x14ac:dyDescent="0.3">
      <c r="A41" t="s">
        <v>16</v>
      </c>
      <c r="B41" t="s">
        <v>17</v>
      </c>
      <c r="C41">
        <v>28.03</v>
      </c>
      <c r="D41">
        <v>21.48</v>
      </c>
      <c r="E41">
        <f t="shared" si="0"/>
        <v>35.313896698042264</v>
      </c>
      <c r="F41">
        <v>35.313896698042264</v>
      </c>
      <c r="G41">
        <f t="shared" si="1"/>
        <v>0.79452640392065821</v>
      </c>
    </row>
    <row r="42" spans="1:7" x14ac:dyDescent="0.3">
      <c r="A42" t="s">
        <v>16</v>
      </c>
      <c r="B42" t="s">
        <v>18</v>
      </c>
      <c r="C42">
        <v>36.33</v>
      </c>
      <c r="D42">
        <v>21.48</v>
      </c>
      <c r="E42">
        <f t="shared" si="0"/>
        <v>42.204967717082781</v>
      </c>
      <c r="F42">
        <v>42.204967717082781</v>
      </c>
      <c r="G42">
        <f t="shared" si="1"/>
        <v>0.94956842385791596</v>
      </c>
    </row>
    <row r="43" spans="1:7" x14ac:dyDescent="0.3">
      <c r="A43" t="s">
        <v>16</v>
      </c>
      <c r="B43" t="s">
        <v>19</v>
      </c>
      <c r="C43">
        <v>19.309999999999999</v>
      </c>
      <c r="D43">
        <v>33.83</v>
      </c>
      <c r="E43">
        <f>SQRT(D43^2+C43^2)</f>
        <v>38.95311284095277</v>
      </c>
      <c r="F43">
        <v>38.95311284095277</v>
      </c>
      <c r="G43">
        <f t="shared" si="1"/>
        <v>0.87640502920635177</v>
      </c>
    </row>
    <row r="44" spans="1:7" x14ac:dyDescent="0.3">
      <c r="A44" t="s">
        <v>17</v>
      </c>
      <c r="B44" t="s">
        <v>18</v>
      </c>
      <c r="C44">
        <v>8.2899999999999991</v>
      </c>
      <c r="D44">
        <v>0</v>
      </c>
      <c r="E44">
        <f t="shared" si="0"/>
        <v>8.2899999999999991</v>
      </c>
      <c r="F44">
        <v>8.2899999999999991</v>
      </c>
      <c r="G44">
        <f t="shared" si="1"/>
        <v>0.18651648513395028</v>
      </c>
    </row>
    <row r="45" spans="1:7" x14ac:dyDescent="0.3">
      <c r="A45" t="s">
        <v>17</v>
      </c>
      <c r="B45" t="s">
        <v>19</v>
      </c>
      <c r="C45">
        <v>8.7200000000000006</v>
      </c>
      <c r="D45">
        <v>12.39</v>
      </c>
      <c r="E45">
        <f t="shared" si="0"/>
        <v>15.150924064227898</v>
      </c>
      <c r="F45">
        <v>15.150924064227898</v>
      </c>
      <c r="G45">
        <f t="shared" si="1"/>
        <v>0.34088022955261432</v>
      </c>
    </row>
    <row r="46" spans="1:7" x14ac:dyDescent="0.3">
      <c r="A46" t="s">
        <v>18</v>
      </c>
      <c r="B46" t="s">
        <v>19</v>
      </c>
      <c r="C46">
        <v>17.02</v>
      </c>
      <c r="D46">
        <v>12.35</v>
      </c>
      <c r="E46">
        <f t="shared" si="0"/>
        <v>21.028620972379525</v>
      </c>
      <c r="F46">
        <v>21.028620972379525</v>
      </c>
      <c r="G46">
        <f t="shared" si="1"/>
        <v>0.47312237285673114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9D221-4745-4D33-B8FF-4387D07A64D9}">
  <sheetPr>
    <tabColor theme="4" tint="-0.249977111117893"/>
  </sheetPr>
  <dimension ref="A1:X11"/>
  <sheetViews>
    <sheetView workbookViewId="0">
      <selection activeCell="F46" sqref="F46"/>
    </sheetView>
  </sheetViews>
  <sheetFormatPr defaultRowHeight="14.4" x14ac:dyDescent="0.3"/>
  <cols>
    <col min="1" max="1" width="6" customWidth="1"/>
    <col min="15" max="24" width="9.109375" style="1"/>
  </cols>
  <sheetData>
    <row r="1" spans="1:24" x14ac:dyDescent="0.3"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/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</row>
    <row r="2" spans="1:24" x14ac:dyDescent="0.3">
      <c r="A2" t="s">
        <v>10</v>
      </c>
      <c r="B2" s="1">
        <v>0</v>
      </c>
      <c r="C2">
        <v>19.594289984584794</v>
      </c>
      <c r="D2">
        <v>7.2008402287510869</v>
      </c>
      <c r="E2">
        <v>11.45</v>
      </c>
      <c r="F2">
        <v>17.413698630675793</v>
      </c>
      <c r="G2">
        <v>3.9</v>
      </c>
      <c r="H2">
        <v>27.230161586006059</v>
      </c>
      <c r="I2">
        <v>8.7032465206955951</v>
      </c>
      <c r="J2">
        <v>14.951003310814965</v>
      </c>
      <c r="K2">
        <v>20.013667829760738</v>
      </c>
      <c r="L2" s="1"/>
      <c r="M2">
        <v>0</v>
      </c>
      <c r="O2" s="1">
        <f>B2/$M$3</f>
        <v>0</v>
      </c>
      <c r="P2" s="1">
        <f t="shared" ref="P2:U2" si="0">C2/$M$3</f>
        <v>0.44085139886853086</v>
      </c>
      <c r="Q2" s="1">
        <f t="shared" si="0"/>
        <v>0.16201150898405348</v>
      </c>
      <c r="R2" s="1">
        <f t="shared" si="0"/>
        <v>0.25761323941902664</v>
      </c>
      <c r="S2" s="1">
        <f t="shared" si="0"/>
        <v>0.39179033314542006</v>
      </c>
      <c r="T2" s="1">
        <f t="shared" si="0"/>
        <v>8.7745994212594228E-2</v>
      </c>
      <c r="U2" s="1">
        <f t="shared" si="0"/>
        <v>0.61265066690607528</v>
      </c>
      <c r="V2" s="1">
        <f>I2/$M$3</f>
        <v>0.19581410739377861</v>
      </c>
      <c r="W2" s="1">
        <f t="shared" ref="W2" si="1">J2/$M$3</f>
        <v>0.33638221794442236</v>
      </c>
      <c r="X2" s="1">
        <f>K2/$M$3</f>
        <v>0.45028696963153053</v>
      </c>
    </row>
    <row r="3" spans="1:24" x14ac:dyDescent="0.3">
      <c r="A3" t="s">
        <v>11</v>
      </c>
      <c r="B3">
        <v>19.594289984584794</v>
      </c>
      <c r="C3" s="1">
        <v>0</v>
      </c>
      <c r="D3">
        <v>12.436760028238867</v>
      </c>
      <c r="E3">
        <v>8.1892917886713494</v>
      </c>
      <c r="F3">
        <v>15.11477753723157</v>
      </c>
      <c r="G3">
        <v>20.097586919826966</v>
      </c>
      <c r="H3">
        <v>41.284428057077406</v>
      </c>
      <c r="I3">
        <v>13.154790002124701</v>
      </c>
      <c r="J3">
        <v>17.791756518118159</v>
      </c>
      <c r="K3">
        <v>4.3099999999999996</v>
      </c>
      <c r="M3">
        <f>MAX(B2:K11)</f>
        <v>44.446473425908607</v>
      </c>
      <c r="O3" s="1">
        <f t="shared" ref="O3:O11" si="2">B3/$M$3</f>
        <v>0.44085139886853086</v>
      </c>
      <c r="P3" s="1">
        <f t="shared" ref="P3:P11" si="3">C3/$M$3</f>
        <v>0</v>
      </c>
      <c r="Q3" s="1">
        <f t="shared" ref="Q3:Q11" si="4">D3/$M$3</f>
        <v>0.279814326528531</v>
      </c>
      <c r="R3" s="1">
        <f t="shared" ref="R3:R11" si="5">E3/$M$3</f>
        <v>0.18425065381897479</v>
      </c>
      <c r="S3" s="1">
        <f t="shared" ref="S3:S11" si="6">F3/$M$3</f>
        <v>0.34006696982219758</v>
      </c>
      <c r="T3" s="1">
        <f t="shared" ref="T3:T11" si="7">G3/$M$3</f>
        <v>0.45217506296262733</v>
      </c>
      <c r="U3" s="1">
        <f t="shared" ref="U3:U11" si="8">H3/$M$3</f>
        <v>0.92885722701707107</v>
      </c>
      <c r="V3" s="1">
        <f t="shared" ref="V3:V11" si="9">I3/$M$3</f>
        <v>0.29596926343444269</v>
      </c>
      <c r="W3" s="1">
        <f t="shared" ref="W3:W11" si="10">J3/$M$3</f>
        <v>0.40029624730017482</v>
      </c>
      <c r="X3" s="1">
        <f t="shared" ref="X3:X11" si="11">K3/$M$3</f>
        <v>9.6970573091354137E-2</v>
      </c>
    </row>
    <row r="4" spans="1:24" x14ac:dyDescent="0.3">
      <c r="A4" t="s">
        <v>12</v>
      </c>
      <c r="B4">
        <v>7.2008402287510869</v>
      </c>
      <c r="C4">
        <v>12.436760028238867</v>
      </c>
      <c r="D4" s="1">
        <v>0</v>
      </c>
      <c r="E4">
        <v>4.28</v>
      </c>
      <c r="F4">
        <v>13.800463760323417</v>
      </c>
      <c r="G4">
        <v>8.1620401861299356</v>
      </c>
      <c r="H4">
        <v>31.576766775589931</v>
      </c>
      <c r="I4">
        <v>4.8305072197441126</v>
      </c>
      <c r="J4">
        <v>13.12</v>
      </c>
      <c r="K4">
        <v>13.065638139792485</v>
      </c>
      <c r="O4" s="1">
        <f t="shared" si="2"/>
        <v>0.16201150898405348</v>
      </c>
      <c r="P4" s="1">
        <f t="shared" si="3"/>
        <v>0.279814326528531</v>
      </c>
      <c r="Q4" s="1">
        <f t="shared" si="4"/>
        <v>0</v>
      </c>
      <c r="R4" s="1">
        <f t="shared" si="5"/>
        <v>9.6295603905103416E-2</v>
      </c>
      <c r="S4" s="1">
        <f t="shared" si="6"/>
        <v>0.31049625980627049</v>
      </c>
      <c r="T4" s="1">
        <f t="shared" si="7"/>
        <v>0.1836375207525946</v>
      </c>
      <c r="U4" s="1">
        <f t="shared" si="8"/>
        <v>0.71044481916496205</v>
      </c>
      <c r="V4" s="1">
        <f t="shared" si="9"/>
        <v>0.10868145090963117</v>
      </c>
      <c r="W4" s="1">
        <f t="shared" si="10"/>
        <v>0.29518652412031698</v>
      </c>
      <c r="X4" s="1">
        <f t="shared" si="11"/>
        <v>0.29396343810207226</v>
      </c>
    </row>
    <row r="5" spans="1:24" x14ac:dyDescent="0.3">
      <c r="A5" t="s">
        <v>13</v>
      </c>
      <c r="B5">
        <v>11.45</v>
      </c>
      <c r="C5">
        <v>8.1892917886713494</v>
      </c>
      <c r="D5">
        <v>4.28</v>
      </c>
      <c r="E5" s="1">
        <v>0</v>
      </c>
      <c r="F5">
        <v>13.12</v>
      </c>
      <c r="G5">
        <v>12.095970403402944</v>
      </c>
      <c r="H5">
        <v>34.621961238497164</v>
      </c>
      <c r="I5">
        <v>6.4072615055107587</v>
      </c>
      <c r="J5">
        <v>13.731314576543646</v>
      </c>
      <c r="K5">
        <v>9.0711686126981448</v>
      </c>
      <c r="O5" s="1">
        <f t="shared" si="2"/>
        <v>0.25761323941902664</v>
      </c>
      <c r="P5" s="1">
        <f t="shared" si="3"/>
        <v>0.18425065381897479</v>
      </c>
      <c r="Q5" s="1">
        <f t="shared" si="4"/>
        <v>9.6295603905103416E-2</v>
      </c>
      <c r="R5" s="1">
        <f t="shared" si="5"/>
        <v>0</v>
      </c>
      <c r="S5" s="1">
        <f t="shared" si="6"/>
        <v>0.29518652412031698</v>
      </c>
      <c r="T5" s="1">
        <f t="shared" si="7"/>
        <v>0.27214691000325791</v>
      </c>
      <c r="U5" s="1">
        <f t="shared" si="8"/>
        <v>0.77895856678508568</v>
      </c>
      <c r="V5" s="1">
        <f t="shared" si="9"/>
        <v>0.14415680281567303</v>
      </c>
      <c r="W5" s="1">
        <f t="shared" si="10"/>
        <v>0.3089404741960794</v>
      </c>
      <c r="X5" s="1">
        <f t="shared" si="11"/>
        <v>0.20409197656186612</v>
      </c>
    </row>
    <row r="6" spans="1:24" x14ac:dyDescent="0.3">
      <c r="A6" t="s">
        <v>14</v>
      </c>
      <c r="B6">
        <v>17.413698630675793</v>
      </c>
      <c r="C6">
        <v>15.11477753723157</v>
      </c>
      <c r="D6">
        <v>13.800463760323417</v>
      </c>
      <c r="E6">
        <v>13.12</v>
      </c>
      <c r="F6" s="1">
        <v>0</v>
      </c>
      <c r="G6">
        <v>20.463237769228993</v>
      </c>
      <c r="H6">
        <v>44.446473425908607</v>
      </c>
      <c r="I6">
        <v>9.2531994466778897</v>
      </c>
      <c r="J6">
        <v>4.21</v>
      </c>
      <c r="K6">
        <v>18.81226195862688</v>
      </c>
      <c r="O6" s="1">
        <f t="shared" si="2"/>
        <v>0.39179033314542006</v>
      </c>
      <c r="P6" s="1">
        <f t="shared" si="3"/>
        <v>0.34006696982219758</v>
      </c>
      <c r="Q6" s="1">
        <f t="shared" si="4"/>
        <v>0.31049625980627049</v>
      </c>
      <c r="R6" s="1">
        <f t="shared" si="5"/>
        <v>0.29518652412031698</v>
      </c>
      <c r="S6" s="1">
        <f t="shared" si="6"/>
        <v>0</v>
      </c>
      <c r="T6" s="1">
        <f t="shared" si="7"/>
        <v>0.46040183150505304</v>
      </c>
      <c r="U6" s="1">
        <f t="shared" si="8"/>
        <v>1</v>
      </c>
      <c r="V6" s="1">
        <f t="shared" si="9"/>
        <v>0.20818748335799442</v>
      </c>
      <c r="W6" s="1">
        <f t="shared" si="10"/>
        <v>9.4720675803851725E-2</v>
      </c>
      <c r="X6" s="1">
        <f t="shared" si="11"/>
        <v>0.42325657152499513</v>
      </c>
    </row>
    <row r="7" spans="1:24" x14ac:dyDescent="0.3">
      <c r="A7" t="s">
        <v>15</v>
      </c>
      <c r="B7">
        <v>3.9</v>
      </c>
      <c r="C7">
        <v>20.097586919826966</v>
      </c>
      <c r="D7">
        <v>8.1620401861299356</v>
      </c>
      <c r="E7">
        <v>12.095970403402944</v>
      </c>
      <c r="F7">
        <v>20.463237769228993</v>
      </c>
      <c r="G7" s="1">
        <v>0</v>
      </c>
      <c r="H7">
        <v>23.99278433196114</v>
      </c>
      <c r="I7">
        <v>11.33384312578924</v>
      </c>
      <c r="J7">
        <v>18.503729353835674</v>
      </c>
      <c r="K7">
        <v>19.63</v>
      </c>
      <c r="O7" s="1">
        <f t="shared" si="2"/>
        <v>8.7745994212594228E-2</v>
      </c>
      <c r="P7" s="1">
        <f t="shared" si="3"/>
        <v>0.45217506296262733</v>
      </c>
      <c r="Q7" s="1">
        <f t="shared" si="4"/>
        <v>0.1836375207525946</v>
      </c>
      <c r="R7" s="1">
        <f t="shared" si="5"/>
        <v>0.27214691000325791</v>
      </c>
      <c r="S7" s="1">
        <f t="shared" si="6"/>
        <v>0.46040183150505304</v>
      </c>
      <c r="T7" s="1">
        <f t="shared" si="7"/>
        <v>0</v>
      </c>
      <c r="U7" s="1">
        <f t="shared" si="8"/>
        <v>0.53981300388109843</v>
      </c>
      <c r="V7" s="1">
        <f t="shared" si="9"/>
        <v>0.25499982905691115</v>
      </c>
      <c r="W7" s="1">
        <f t="shared" si="10"/>
        <v>0.41631490481873717</v>
      </c>
      <c r="X7" s="1">
        <f t="shared" si="11"/>
        <v>0.4416548375367243</v>
      </c>
    </row>
    <row r="8" spans="1:24" x14ac:dyDescent="0.3">
      <c r="A8" t="s">
        <v>16</v>
      </c>
      <c r="B8">
        <v>27.230161586006059</v>
      </c>
      <c r="C8">
        <v>41.284428057077406</v>
      </c>
      <c r="D8">
        <v>31.576766775589931</v>
      </c>
      <c r="E8">
        <v>34.621961238497164</v>
      </c>
      <c r="F8">
        <v>44.446473425908607</v>
      </c>
      <c r="G8">
        <v>23.99278433196114</v>
      </c>
      <c r="H8" s="1">
        <v>0</v>
      </c>
      <c r="I8">
        <v>35.313896698042264</v>
      </c>
      <c r="J8">
        <v>42.204967717082781</v>
      </c>
      <c r="K8">
        <v>38.95311284095277</v>
      </c>
      <c r="O8" s="1">
        <f t="shared" si="2"/>
        <v>0.61265066690607528</v>
      </c>
      <c r="P8" s="1">
        <f t="shared" si="3"/>
        <v>0.92885722701707107</v>
      </c>
      <c r="Q8" s="1">
        <f t="shared" si="4"/>
        <v>0.71044481916496205</v>
      </c>
      <c r="R8" s="1">
        <f t="shared" si="5"/>
        <v>0.77895856678508568</v>
      </c>
      <c r="S8" s="1">
        <f t="shared" si="6"/>
        <v>1</v>
      </c>
      <c r="T8" s="1">
        <f t="shared" si="7"/>
        <v>0.53981300388109843</v>
      </c>
      <c r="U8" s="1">
        <f t="shared" si="8"/>
        <v>0</v>
      </c>
      <c r="V8" s="1">
        <f t="shared" si="9"/>
        <v>0.79452640392065821</v>
      </c>
      <c r="W8" s="1">
        <f t="shared" si="10"/>
        <v>0.94956842385791596</v>
      </c>
      <c r="X8" s="1">
        <f t="shared" si="11"/>
        <v>0.87640502920635177</v>
      </c>
    </row>
    <row r="9" spans="1:24" x14ac:dyDescent="0.3">
      <c r="A9" t="s">
        <v>17</v>
      </c>
      <c r="B9">
        <v>8.7032465206955951</v>
      </c>
      <c r="C9">
        <v>13.154790002124701</v>
      </c>
      <c r="D9">
        <v>4.8305072197441126</v>
      </c>
      <c r="E9">
        <v>6.4072615055107587</v>
      </c>
      <c r="F9">
        <v>9.2531994466778897</v>
      </c>
      <c r="G9">
        <v>11.33384312578924</v>
      </c>
      <c r="H9">
        <v>35.313896698042264</v>
      </c>
      <c r="I9" s="1">
        <v>0</v>
      </c>
      <c r="J9">
        <v>8.2899999999999991</v>
      </c>
      <c r="K9">
        <v>15.150924064227898</v>
      </c>
      <c r="O9" s="1">
        <f t="shared" si="2"/>
        <v>0.19581410739377861</v>
      </c>
      <c r="P9" s="1">
        <f t="shared" si="3"/>
        <v>0.29596926343444269</v>
      </c>
      <c r="Q9" s="1">
        <f t="shared" si="4"/>
        <v>0.10868145090963117</v>
      </c>
      <c r="R9" s="1">
        <f t="shared" si="5"/>
        <v>0.14415680281567303</v>
      </c>
      <c r="S9" s="1">
        <f t="shared" si="6"/>
        <v>0.20818748335799442</v>
      </c>
      <c r="T9" s="1">
        <f t="shared" si="7"/>
        <v>0.25499982905691115</v>
      </c>
      <c r="U9" s="1">
        <f t="shared" si="8"/>
        <v>0.79452640392065821</v>
      </c>
      <c r="V9" s="1">
        <f t="shared" si="9"/>
        <v>0</v>
      </c>
      <c r="W9" s="1">
        <f t="shared" si="10"/>
        <v>0.18651648513395028</v>
      </c>
      <c r="X9" s="1">
        <f t="shared" si="11"/>
        <v>0.34088022955261432</v>
      </c>
    </row>
    <row r="10" spans="1:24" x14ac:dyDescent="0.3">
      <c r="A10" t="s">
        <v>18</v>
      </c>
      <c r="B10">
        <v>14.951003310814965</v>
      </c>
      <c r="C10">
        <v>17.791756518118159</v>
      </c>
      <c r="D10">
        <v>13.12</v>
      </c>
      <c r="E10">
        <v>13.731314576543646</v>
      </c>
      <c r="F10">
        <v>4.21</v>
      </c>
      <c r="G10">
        <v>18.503729353835674</v>
      </c>
      <c r="H10">
        <v>42.204967717082781</v>
      </c>
      <c r="I10">
        <v>8.2899999999999991</v>
      </c>
      <c r="J10" s="1">
        <v>0</v>
      </c>
      <c r="K10">
        <v>21.028620972379525</v>
      </c>
      <c r="O10" s="1">
        <f t="shared" si="2"/>
        <v>0.33638221794442236</v>
      </c>
      <c r="P10" s="1">
        <f t="shared" si="3"/>
        <v>0.40029624730017482</v>
      </c>
      <c r="Q10" s="1">
        <f t="shared" si="4"/>
        <v>0.29518652412031698</v>
      </c>
      <c r="R10" s="1">
        <f t="shared" si="5"/>
        <v>0.3089404741960794</v>
      </c>
      <c r="S10" s="1">
        <f t="shared" si="6"/>
        <v>9.4720675803851725E-2</v>
      </c>
      <c r="T10" s="1">
        <f t="shared" si="7"/>
        <v>0.41631490481873717</v>
      </c>
      <c r="U10" s="1">
        <f t="shared" si="8"/>
        <v>0.94956842385791596</v>
      </c>
      <c r="V10" s="1">
        <f t="shared" si="9"/>
        <v>0.18651648513395028</v>
      </c>
      <c r="W10" s="1">
        <f t="shared" si="10"/>
        <v>0</v>
      </c>
      <c r="X10" s="1">
        <f t="shared" si="11"/>
        <v>0.47312237285673114</v>
      </c>
    </row>
    <row r="11" spans="1:24" x14ac:dyDescent="0.3">
      <c r="A11" t="s">
        <v>19</v>
      </c>
      <c r="B11">
        <v>20.013667829760738</v>
      </c>
      <c r="C11">
        <v>4.3099999999999996</v>
      </c>
      <c r="D11">
        <v>13.065638139792485</v>
      </c>
      <c r="E11">
        <v>9.0711686126981448</v>
      </c>
      <c r="F11">
        <v>18.81226195862688</v>
      </c>
      <c r="G11">
        <v>19.63</v>
      </c>
      <c r="H11">
        <v>38.95311284095277</v>
      </c>
      <c r="I11">
        <v>15.150924064227898</v>
      </c>
      <c r="J11">
        <v>21.028620972379525</v>
      </c>
      <c r="K11" s="1">
        <v>0</v>
      </c>
      <c r="L11" s="1"/>
      <c r="O11" s="1">
        <f t="shared" si="2"/>
        <v>0.45028696963153053</v>
      </c>
      <c r="P11" s="1">
        <f t="shared" si="3"/>
        <v>9.6970573091354137E-2</v>
      </c>
      <c r="Q11" s="1">
        <f t="shared" si="4"/>
        <v>0.29396343810207226</v>
      </c>
      <c r="R11" s="1">
        <f t="shared" si="5"/>
        <v>0.20409197656186612</v>
      </c>
      <c r="S11" s="1">
        <f t="shared" si="6"/>
        <v>0.42325657152499513</v>
      </c>
      <c r="T11" s="1">
        <f t="shared" si="7"/>
        <v>0.4416548375367243</v>
      </c>
      <c r="U11" s="1">
        <f t="shared" si="8"/>
        <v>0.87640502920635177</v>
      </c>
      <c r="V11" s="1">
        <f t="shared" si="9"/>
        <v>0.34088022955261432</v>
      </c>
      <c r="W11" s="1">
        <f t="shared" si="10"/>
        <v>0.47312237285673114</v>
      </c>
      <c r="X11" s="1">
        <f t="shared" si="11"/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91053-BDFA-4521-A843-C7F1F670A3C5}">
  <sheetPr>
    <tabColor rgb="FFC00000"/>
  </sheetPr>
  <dimension ref="A1:J11"/>
  <sheetViews>
    <sheetView topLeftCell="A4" workbookViewId="0">
      <selection activeCell="F46" sqref="F46"/>
    </sheetView>
  </sheetViews>
  <sheetFormatPr defaultRowHeight="14.4" x14ac:dyDescent="0.3"/>
  <sheetData>
    <row r="1" spans="1:10" x14ac:dyDescent="0.3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</row>
    <row r="2" spans="1:10" x14ac:dyDescent="0.3">
      <c r="A2">
        <v>0</v>
      </c>
      <c r="B2">
        <v>0.44085139886853086</v>
      </c>
      <c r="C2">
        <v>0.16201150898405348</v>
      </c>
      <c r="D2">
        <v>0.25761323941902664</v>
      </c>
      <c r="E2">
        <v>0.39179033314542006</v>
      </c>
      <c r="F2">
        <v>8.7745994212594228E-2</v>
      </c>
      <c r="G2">
        <v>0.61265066690607528</v>
      </c>
      <c r="H2">
        <v>0.19581410739377861</v>
      </c>
      <c r="I2">
        <v>0.33638221794442236</v>
      </c>
      <c r="J2">
        <v>0.45028696963153053</v>
      </c>
    </row>
    <row r="3" spans="1:10" x14ac:dyDescent="0.3">
      <c r="A3">
        <v>0.44085139886853086</v>
      </c>
      <c r="B3">
        <v>0</v>
      </c>
      <c r="C3">
        <v>0.279814326528531</v>
      </c>
      <c r="D3">
        <v>0.18425065381897479</v>
      </c>
      <c r="E3">
        <v>0.34006696982219758</v>
      </c>
      <c r="F3">
        <v>0.45217506296262733</v>
      </c>
      <c r="G3">
        <v>0.92885722701707107</v>
      </c>
      <c r="H3">
        <v>0.29596926343444269</v>
      </c>
      <c r="I3">
        <v>0.40029624730017482</v>
      </c>
      <c r="J3">
        <v>9.6970573091354137E-2</v>
      </c>
    </row>
    <row r="4" spans="1:10" x14ac:dyDescent="0.3">
      <c r="A4">
        <v>0.16201150898405348</v>
      </c>
      <c r="B4">
        <v>0.279814326528531</v>
      </c>
      <c r="C4">
        <v>0</v>
      </c>
      <c r="D4">
        <v>9.6295603905103416E-2</v>
      </c>
      <c r="E4">
        <v>0.31049625980627049</v>
      </c>
      <c r="F4">
        <v>0.1836375207525946</v>
      </c>
      <c r="G4">
        <v>0.71044481916496205</v>
      </c>
      <c r="H4">
        <v>0.10868145090963117</v>
      </c>
      <c r="I4">
        <v>0.29518652412031698</v>
      </c>
      <c r="J4">
        <v>0.29396343810207226</v>
      </c>
    </row>
    <row r="5" spans="1:10" x14ac:dyDescent="0.3">
      <c r="A5">
        <v>0.25761323941902664</v>
      </c>
      <c r="B5">
        <v>0.18425065381897479</v>
      </c>
      <c r="C5">
        <v>9.6295603905103416E-2</v>
      </c>
      <c r="D5">
        <v>0</v>
      </c>
      <c r="E5">
        <v>0.29518652412031698</v>
      </c>
      <c r="F5">
        <v>0.27214691000325791</v>
      </c>
      <c r="G5">
        <v>0.77895856678508568</v>
      </c>
      <c r="H5">
        <v>0.14415680281567303</v>
      </c>
      <c r="I5">
        <v>0.3089404741960794</v>
      </c>
      <c r="J5">
        <v>0.20409197656186612</v>
      </c>
    </row>
    <row r="6" spans="1:10" x14ac:dyDescent="0.3">
      <c r="A6">
        <v>0.39179033314542006</v>
      </c>
      <c r="B6">
        <v>0.34006696982219758</v>
      </c>
      <c r="C6">
        <v>0.31049625980627049</v>
      </c>
      <c r="D6">
        <v>0.29518652412031698</v>
      </c>
      <c r="E6">
        <v>0</v>
      </c>
      <c r="F6">
        <v>0.46040183150505304</v>
      </c>
      <c r="G6">
        <v>1</v>
      </c>
      <c r="H6">
        <v>0.20818748335799442</v>
      </c>
      <c r="I6">
        <v>9.4720675803851725E-2</v>
      </c>
      <c r="J6">
        <v>0.42325657152499513</v>
      </c>
    </row>
    <row r="7" spans="1:10" x14ac:dyDescent="0.3">
      <c r="A7">
        <v>8.7745994212594228E-2</v>
      </c>
      <c r="B7">
        <v>0.45217506296262733</v>
      </c>
      <c r="C7">
        <v>0.1836375207525946</v>
      </c>
      <c r="D7">
        <v>0.27214691000325791</v>
      </c>
      <c r="E7">
        <v>0.46040183150505304</v>
      </c>
      <c r="F7">
        <v>0</v>
      </c>
      <c r="G7">
        <v>0.53981300388109843</v>
      </c>
      <c r="H7">
        <v>0.25499982905691115</v>
      </c>
      <c r="I7">
        <v>0.41631490481873717</v>
      </c>
      <c r="J7">
        <v>0.4416548375367243</v>
      </c>
    </row>
    <row r="8" spans="1:10" x14ac:dyDescent="0.3">
      <c r="A8">
        <v>0.61265066690607528</v>
      </c>
      <c r="B8">
        <v>0.92885722701707107</v>
      </c>
      <c r="C8">
        <v>0.71044481916496205</v>
      </c>
      <c r="D8">
        <v>0.77895856678508568</v>
      </c>
      <c r="E8">
        <v>1</v>
      </c>
      <c r="F8">
        <v>0.53981300388109843</v>
      </c>
      <c r="G8">
        <v>0</v>
      </c>
      <c r="H8">
        <v>0.79452640392065821</v>
      </c>
      <c r="I8">
        <v>0.94956842385791596</v>
      </c>
      <c r="J8">
        <v>0.87640502920635177</v>
      </c>
    </row>
    <row r="9" spans="1:10" x14ac:dyDescent="0.3">
      <c r="A9">
        <v>0.19581410739377861</v>
      </c>
      <c r="B9">
        <v>0.29596926343444269</v>
      </c>
      <c r="C9">
        <v>0.10868145090963117</v>
      </c>
      <c r="D9">
        <v>0.14415680281567303</v>
      </c>
      <c r="E9">
        <v>0.20818748335799442</v>
      </c>
      <c r="F9">
        <v>0.25499982905691115</v>
      </c>
      <c r="G9">
        <v>0.79452640392065821</v>
      </c>
      <c r="H9">
        <v>0</v>
      </c>
      <c r="I9">
        <v>0.18651648513395028</v>
      </c>
      <c r="J9">
        <v>0.34088022955261432</v>
      </c>
    </row>
    <row r="10" spans="1:10" x14ac:dyDescent="0.3">
      <c r="A10">
        <v>0.33638221794442236</v>
      </c>
      <c r="B10">
        <v>0.40029624730017482</v>
      </c>
      <c r="C10">
        <v>0.29518652412031698</v>
      </c>
      <c r="D10">
        <v>0.3089404741960794</v>
      </c>
      <c r="E10">
        <v>9.4720675803851725E-2</v>
      </c>
      <c r="F10">
        <v>0.41631490481873717</v>
      </c>
      <c r="G10">
        <v>0.94956842385791596</v>
      </c>
      <c r="H10">
        <v>0.18651648513395028</v>
      </c>
      <c r="I10">
        <v>0</v>
      </c>
      <c r="J10">
        <v>0.47312237285673114</v>
      </c>
    </row>
    <row r="11" spans="1:10" x14ac:dyDescent="0.3">
      <c r="A11">
        <v>0.45028696963153053</v>
      </c>
      <c r="B11">
        <v>9.6970573091354137E-2</v>
      </c>
      <c r="C11">
        <v>0.29396343810207226</v>
      </c>
      <c r="D11">
        <v>0.20409197656186612</v>
      </c>
      <c r="E11">
        <v>0.42325657152499513</v>
      </c>
      <c r="F11">
        <v>0.4416548375367243</v>
      </c>
      <c r="G11">
        <v>0.87640502920635177</v>
      </c>
      <c r="H11">
        <v>0.34088022955261432</v>
      </c>
      <c r="I11">
        <v>0.47312237285673114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9A5B4-CEE2-4A4D-872B-38715BADE34B}">
  <sheetPr>
    <tabColor theme="4" tint="-0.249977111117893"/>
  </sheetPr>
  <dimension ref="A1:X11"/>
  <sheetViews>
    <sheetView workbookViewId="0">
      <selection activeCell="Q20" sqref="Q20"/>
    </sheetView>
  </sheetViews>
  <sheetFormatPr defaultRowHeight="14.4" x14ac:dyDescent="0.3"/>
  <sheetData>
    <row r="1" spans="1:24" x14ac:dyDescent="0.3"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</row>
    <row r="2" spans="1:24" x14ac:dyDescent="0.3">
      <c r="A2" t="s">
        <v>10</v>
      </c>
      <c r="B2">
        <f>IF(PVL2_mtx_c!B2=0,0,PVL2_mtx_c!B2-3.28)</f>
        <v>0</v>
      </c>
      <c r="C2">
        <f>IF(PVL2_mtx_c!C2=0,0,PVL2_mtx_c!C2-3.28)</f>
        <v>16.314289984584793</v>
      </c>
      <c r="D2">
        <f>IF(PVL2_mtx_c!D2=0,0,PVL2_mtx_c!D2-3.28)</f>
        <v>3.9208402287510871</v>
      </c>
      <c r="E2">
        <f>IF(PVL2_mtx_c!E2=0,0,PVL2_mtx_c!E2-3.28)</f>
        <v>8.17</v>
      </c>
      <c r="F2">
        <f>IF(PVL2_mtx_c!F2=0,0,PVL2_mtx_c!F2-3.28)</f>
        <v>14.133698630675793</v>
      </c>
      <c r="G2">
        <f>IF(PVL2_mtx_c!G2=0,0,PVL2_mtx_c!G2-3.28)</f>
        <v>0.62000000000000011</v>
      </c>
      <c r="H2">
        <f>IF(PVL2_mtx_c!H2=0,0,PVL2_mtx_c!H2-3.28)</f>
        <v>23.950161586006057</v>
      </c>
      <c r="I2">
        <f>IF(PVL2_mtx_c!I2=0,0,PVL2_mtx_c!I2-3.28)</f>
        <v>5.4232465206955958</v>
      </c>
      <c r="J2">
        <f>IF(PVL2_mtx_c!J2=0,0,PVL2_mtx_c!J2-3.28)</f>
        <v>11.671003310814966</v>
      </c>
      <c r="K2">
        <f>IF(PVL2_mtx_c!K2=0,0,PVL2_mtx_c!K2-3.28)</f>
        <v>16.733667829760737</v>
      </c>
      <c r="M2">
        <v>0</v>
      </c>
      <c r="O2" s="1">
        <f>B2/$M$3</f>
        <v>0</v>
      </c>
      <c r="P2" s="1">
        <f t="shared" ref="P2:V11" si="0">C2/$M$3</f>
        <v>0.39630040241234754</v>
      </c>
      <c r="Q2" s="1">
        <f t="shared" si="0"/>
        <v>9.5243529563148341E-2</v>
      </c>
      <c r="R2" s="1">
        <f t="shared" si="0"/>
        <v>0.19846247006570433</v>
      </c>
      <c r="S2" s="1">
        <f t="shared" si="0"/>
        <v>0.3433303233057749</v>
      </c>
      <c r="T2" s="1">
        <f t="shared" si="0"/>
        <v>1.5060799441950637E-2</v>
      </c>
      <c r="U2" s="1">
        <f t="shared" si="0"/>
        <v>0.58178803265991541</v>
      </c>
      <c r="V2" s="1">
        <f>I2/$M$3</f>
        <v>0.13173940027814993</v>
      </c>
      <c r="W2" s="1">
        <f t="shared" ref="W2:X11" si="1">J2/$M$3</f>
        <v>0.28350748411375171</v>
      </c>
      <c r="X2" s="1">
        <f>K2/$M$3</f>
        <v>0.4064877663100771</v>
      </c>
    </row>
    <row r="3" spans="1:24" x14ac:dyDescent="0.3">
      <c r="A3" t="s">
        <v>11</v>
      </c>
      <c r="B3">
        <f>IF(PVL2_mtx_c!B3=0,0,PVL2_mtx_c!B3-3.28)</f>
        <v>16.314289984584793</v>
      </c>
      <c r="C3">
        <f>IF(PVL2_mtx_c!C3=0,0,PVL2_mtx_c!C3-3.28)</f>
        <v>0</v>
      </c>
      <c r="D3">
        <f>IF(PVL2_mtx_c!D3=0,0,PVL2_mtx_c!D3-3.28)</f>
        <v>9.1567600282388675</v>
      </c>
      <c r="E3">
        <f>IF(PVL2_mtx_c!E3=0,0,PVL2_mtx_c!E3-3.28)</f>
        <v>4.9092917886713501</v>
      </c>
      <c r="F3">
        <f>IF(PVL2_mtx_c!F3=0,0,PVL2_mtx_c!F3-3.28)</f>
        <v>11.83477753723157</v>
      </c>
      <c r="G3">
        <f>IF(PVL2_mtx_c!G3=0,0,PVL2_mtx_c!G3-3.28)</f>
        <v>16.817586919826965</v>
      </c>
      <c r="H3">
        <f>IF(PVL2_mtx_c!H3=0,0,PVL2_mtx_c!H3-3.28)</f>
        <v>38.004428057077405</v>
      </c>
      <c r="I3">
        <f>IF(PVL2_mtx_c!I3=0,0,PVL2_mtx_c!I3-3.28)</f>
        <v>9.8747900021247013</v>
      </c>
      <c r="J3">
        <f>IF(PVL2_mtx_c!J3=0,0,PVL2_mtx_c!J3-3.28)</f>
        <v>14.51175651811816</v>
      </c>
      <c r="K3">
        <f>IF(PVL2_mtx_c!K3=0,0,PVL2_mtx_c!K3-3.28)</f>
        <v>1.0299999999999998</v>
      </c>
      <c r="M3">
        <f>MAX(B2:K11)</f>
        <v>41.166473425908606</v>
      </c>
      <c r="O3" s="1">
        <f t="shared" ref="O3:O11" si="2">B3/$M$3</f>
        <v>0.39630040241234754</v>
      </c>
      <c r="P3" s="1">
        <f t="shared" si="0"/>
        <v>0</v>
      </c>
      <c r="Q3" s="1">
        <f t="shared" si="0"/>
        <v>0.22243246181189649</v>
      </c>
      <c r="R3" s="1">
        <f t="shared" si="0"/>
        <v>0.11925461134063597</v>
      </c>
      <c r="S3" s="1">
        <f t="shared" si="0"/>
        <v>0.28748582407797929</v>
      </c>
      <c r="T3" s="1">
        <f t="shared" si="0"/>
        <v>0.40852629628562298</v>
      </c>
      <c r="U3" s="1">
        <f t="shared" si="0"/>
        <v>0.92318882076400721</v>
      </c>
      <c r="V3" s="1">
        <f t="shared" si="0"/>
        <v>0.23987456734416035</v>
      </c>
      <c r="W3" s="1">
        <f t="shared" si="1"/>
        <v>0.352513958822254</v>
      </c>
      <c r="X3" s="1">
        <f t="shared" si="1"/>
        <v>2.5020360363240568E-2</v>
      </c>
    </row>
    <row r="4" spans="1:24" x14ac:dyDescent="0.3">
      <c r="A4" t="s">
        <v>12</v>
      </c>
      <c r="B4">
        <f>IF(PVL2_mtx_c!B4=0,0,PVL2_mtx_c!B4-3.28)</f>
        <v>3.9208402287510871</v>
      </c>
      <c r="C4">
        <f>IF(PVL2_mtx_c!C4=0,0,PVL2_mtx_c!C4-3.28)</f>
        <v>9.1567600282388675</v>
      </c>
      <c r="D4">
        <f>IF(PVL2_mtx_c!D4=0,0,PVL2_mtx_c!D4-3.28)</f>
        <v>0</v>
      </c>
      <c r="E4">
        <f>IF(PVL2_mtx_c!E4=0,0,PVL2_mtx_c!E4-3.28)</f>
        <v>1.0000000000000004</v>
      </c>
      <c r="F4">
        <f>IF(PVL2_mtx_c!F4=0,0,PVL2_mtx_c!F4-3.28)</f>
        <v>10.520463760323418</v>
      </c>
      <c r="G4">
        <f>IF(PVL2_mtx_c!G4=0,0,PVL2_mtx_c!G4-3.28)</f>
        <v>4.8820401861299363</v>
      </c>
      <c r="H4">
        <f>IF(PVL2_mtx_c!H4=0,0,PVL2_mtx_c!H4-3.28)</f>
        <v>28.29676677558993</v>
      </c>
      <c r="I4">
        <f>IF(PVL2_mtx_c!I4=0,0,PVL2_mtx_c!I4-3.28)</f>
        <v>1.5505072197441128</v>
      </c>
      <c r="J4">
        <f>IF(PVL2_mtx_c!J4=0,0,PVL2_mtx_c!J4-3.28)</f>
        <v>9.84</v>
      </c>
      <c r="K4">
        <f>IF(PVL2_mtx_c!K4=0,0,PVL2_mtx_c!K4-3.28)</f>
        <v>9.7856381397924856</v>
      </c>
      <c r="O4" s="1">
        <f t="shared" si="2"/>
        <v>9.5243529563148341E-2</v>
      </c>
      <c r="P4" s="1">
        <f t="shared" si="0"/>
        <v>0.22243246181189649</v>
      </c>
      <c r="Q4" s="1">
        <f t="shared" si="0"/>
        <v>0</v>
      </c>
      <c r="R4" s="1">
        <f t="shared" si="0"/>
        <v>2.4291612003146196E-2</v>
      </c>
      <c r="S4" s="1">
        <f t="shared" si="0"/>
        <v>0.2555590237589368</v>
      </c>
      <c r="T4" s="1">
        <f t="shared" si="0"/>
        <v>0.118592625985236</v>
      </c>
      <c r="U4" s="1">
        <f t="shared" si="0"/>
        <v>0.68737407945614859</v>
      </c>
      <c r="V4" s="1">
        <f t="shared" si="0"/>
        <v>3.766431979010091E-2</v>
      </c>
      <c r="W4" s="1">
        <f t="shared" si="1"/>
        <v>0.23902946211095846</v>
      </c>
      <c r="X4" s="1">
        <f t="shared" si="1"/>
        <v>0.23770892489502826</v>
      </c>
    </row>
    <row r="5" spans="1:24" x14ac:dyDescent="0.3">
      <c r="A5" t="s">
        <v>13</v>
      </c>
      <c r="B5">
        <f>IF(PVL2_mtx_c!B5=0,0,PVL2_mtx_c!B5-3.28)</f>
        <v>8.17</v>
      </c>
      <c r="C5">
        <f>IF(PVL2_mtx_c!C5=0,0,PVL2_mtx_c!C5-3.28)</f>
        <v>4.9092917886713501</v>
      </c>
      <c r="D5">
        <f>IF(PVL2_mtx_c!D5=0,0,PVL2_mtx_c!D5-3.28)</f>
        <v>1.0000000000000004</v>
      </c>
      <c r="E5">
        <f>IF(PVL2_mtx_c!E5=0,0,PVL2_mtx_c!E5-3.28)</f>
        <v>0</v>
      </c>
      <c r="F5">
        <f>IF(PVL2_mtx_c!F5=0,0,PVL2_mtx_c!F5-3.28)</f>
        <v>9.84</v>
      </c>
      <c r="G5">
        <f>IF(PVL2_mtx_c!G5=0,0,PVL2_mtx_c!G5-3.28)</f>
        <v>8.8159704034029449</v>
      </c>
      <c r="H5">
        <f>IF(PVL2_mtx_c!H5=0,0,PVL2_mtx_c!H5-3.28)</f>
        <v>31.341961238497163</v>
      </c>
      <c r="I5">
        <f>IF(PVL2_mtx_c!I5=0,0,PVL2_mtx_c!I5-3.28)</f>
        <v>3.1272615055107589</v>
      </c>
      <c r="J5">
        <f>IF(PVL2_mtx_c!J5=0,0,PVL2_mtx_c!J5-3.28)</f>
        <v>10.451314576543647</v>
      </c>
      <c r="K5">
        <f>IF(PVL2_mtx_c!K5=0,0,PVL2_mtx_c!K5-3.28)</f>
        <v>5.7911686126981454</v>
      </c>
      <c r="O5" s="1">
        <f t="shared" si="2"/>
        <v>0.19846247006570433</v>
      </c>
      <c r="P5" s="1">
        <f t="shared" si="0"/>
        <v>0.11925461134063597</v>
      </c>
      <c r="Q5" s="1">
        <f t="shared" si="0"/>
        <v>2.4291612003146196E-2</v>
      </c>
      <c r="R5" s="1">
        <f t="shared" si="0"/>
        <v>0</v>
      </c>
      <c r="S5" s="1">
        <f t="shared" si="0"/>
        <v>0.23902946211095846</v>
      </c>
      <c r="T5" s="1">
        <f t="shared" si="0"/>
        <v>0.21415413247068452</v>
      </c>
      <c r="U5" s="1">
        <f t="shared" si="0"/>
        <v>0.76134676182322014</v>
      </c>
      <c r="V5" s="1">
        <f t="shared" si="0"/>
        <v>7.5966223124242158E-2</v>
      </c>
      <c r="W5" s="1">
        <f t="shared" si="1"/>
        <v>0.25387927861622434</v>
      </c>
      <c r="X5" s="1">
        <f t="shared" si="1"/>
        <v>0.14067682098446171</v>
      </c>
    </row>
    <row r="6" spans="1:24" x14ac:dyDescent="0.3">
      <c r="A6" t="s">
        <v>14</v>
      </c>
      <c r="B6">
        <f>IF(PVL2_mtx_c!B6=0,0,PVL2_mtx_c!B6-3.28)</f>
        <v>14.133698630675793</v>
      </c>
      <c r="C6">
        <f>IF(PVL2_mtx_c!C6=0,0,PVL2_mtx_c!C6-3.28)</f>
        <v>11.83477753723157</v>
      </c>
      <c r="D6">
        <f>IF(PVL2_mtx_c!D6=0,0,PVL2_mtx_c!D6-3.28)</f>
        <v>10.520463760323418</v>
      </c>
      <c r="E6">
        <f>IF(PVL2_mtx_c!E6=0,0,PVL2_mtx_c!E6-3.28)</f>
        <v>9.84</v>
      </c>
      <c r="F6">
        <f>IF(PVL2_mtx_c!F6=0,0,PVL2_mtx_c!F6-3.28)</f>
        <v>0</v>
      </c>
      <c r="G6">
        <f>IF(PVL2_mtx_c!G6=0,0,PVL2_mtx_c!G6-3.28)</f>
        <v>17.183237769228992</v>
      </c>
      <c r="H6">
        <f>IF(PVL2_mtx_c!H6=0,0,PVL2_mtx_c!H6-3.28)</f>
        <v>41.166473425908606</v>
      </c>
      <c r="I6">
        <f>IF(PVL2_mtx_c!I6=0,0,PVL2_mtx_c!I6-3.28)</f>
        <v>5.9731994466778904</v>
      </c>
      <c r="J6">
        <f>IF(PVL2_mtx_c!J6=0,0,PVL2_mtx_c!J6-3.28)</f>
        <v>0.93000000000000016</v>
      </c>
      <c r="K6">
        <f>IF(PVL2_mtx_c!K6=0,0,PVL2_mtx_c!K6-3.28)</f>
        <v>15.532261958626881</v>
      </c>
      <c r="O6" s="1">
        <f t="shared" si="2"/>
        <v>0.3433303233057749</v>
      </c>
      <c r="P6" s="1">
        <f t="shared" si="0"/>
        <v>0.28748582407797929</v>
      </c>
      <c r="Q6" s="1">
        <f t="shared" si="0"/>
        <v>0.2555590237589368</v>
      </c>
      <c r="R6" s="1">
        <f t="shared" si="0"/>
        <v>0.23902946211095846</v>
      </c>
      <c r="S6" s="1">
        <f t="shared" si="0"/>
        <v>0</v>
      </c>
      <c r="T6" s="1">
        <f t="shared" si="0"/>
        <v>0.4174085448479179</v>
      </c>
      <c r="U6" s="1">
        <f t="shared" si="0"/>
        <v>1</v>
      </c>
      <c r="V6" s="1">
        <f t="shared" si="0"/>
        <v>0.14509864337610681</v>
      </c>
      <c r="W6" s="1">
        <f t="shared" si="1"/>
        <v>2.2591199162925957E-2</v>
      </c>
      <c r="X6" s="1">
        <f t="shared" si="1"/>
        <v>0.37730368103019163</v>
      </c>
    </row>
    <row r="7" spans="1:24" x14ac:dyDescent="0.3">
      <c r="A7" t="s">
        <v>15</v>
      </c>
      <c r="B7">
        <f>IF(PVL2_mtx_c!B7=0,0,PVL2_mtx_c!B7-3.28)</f>
        <v>0.62000000000000011</v>
      </c>
      <c r="C7">
        <f>IF(PVL2_mtx_c!C7=0,0,PVL2_mtx_c!C7-3.28)</f>
        <v>16.817586919826965</v>
      </c>
      <c r="D7">
        <f>IF(PVL2_mtx_c!D7=0,0,PVL2_mtx_c!D7-3.28)</f>
        <v>4.8820401861299363</v>
      </c>
      <c r="E7">
        <f>IF(PVL2_mtx_c!E7=0,0,PVL2_mtx_c!E7-3.28)</f>
        <v>8.8159704034029449</v>
      </c>
      <c r="F7">
        <f>IF(PVL2_mtx_c!F7=0,0,PVL2_mtx_c!F7-3.28)</f>
        <v>17.183237769228992</v>
      </c>
      <c r="G7">
        <f>IF(PVL2_mtx_c!G7=0,0,PVL2_mtx_c!G7-3.28)</f>
        <v>0</v>
      </c>
      <c r="H7">
        <f>IF(PVL2_mtx_c!H7=0,0,PVL2_mtx_c!H7-3.28)</f>
        <v>20.712784331961139</v>
      </c>
      <c r="I7">
        <f>IF(PVL2_mtx_c!I7=0,0,PVL2_mtx_c!I7-3.28)</f>
        <v>8.0538431257892409</v>
      </c>
      <c r="J7">
        <f>IF(PVL2_mtx_c!J7=0,0,PVL2_mtx_c!J7-3.28)</f>
        <v>15.223729353835674</v>
      </c>
      <c r="K7">
        <f>IF(PVL2_mtx_c!K7=0,0,PVL2_mtx_c!K7-3.28)</f>
        <v>16.349999999999998</v>
      </c>
      <c r="O7" s="1">
        <f t="shared" si="2"/>
        <v>1.5060799441950637E-2</v>
      </c>
      <c r="P7" s="1">
        <f t="shared" si="0"/>
        <v>0.40852629628562298</v>
      </c>
      <c r="Q7" s="1">
        <f t="shared" si="0"/>
        <v>0.118592625985236</v>
      </c>
      <c r="R7" s="1">
        <f t="shared" si="0"/>
        <v>0.21415413247068452</v>
      </c>
      <c r="S7" s="1">
        <f t="shared" si="0"/>
        <v>0.4174085448479179</v>
      </c>
      <c r="T7" s="1">
        <f t="shared" si="0"/>
        <v>0</v>
      </c>
      <c r="U7" s="1">
        <f t="shared" si="0"/>
        <v>0.50314692049684551</v>
      </c>
      <c r="V7" s="1">
        <f t="shared" si="0"/>
        <v>0.19564083234587831</v>
      </c>
      <c r="W7" s="1">
        <f t="shared" si="1"/>
        <v>0.36980892670428361</v>
      </c>
      <c r="X7" s="1">
        <f t="shared" si="1"/>
        <v>0.39716785625144008</v>
      </c>
    </row>
    <row r="8" spans="1:24" x14ac:dyDescent="0.3">
      <c r="A8" t="s">
        <v>16</v>
      </c>
      <c r="B8">
        <f>IF(PVL2_mtx_c!B8=0,0,PVL2_mtx_c!B8-3.28)</f>
        <v>23.950161586006057</v>
      </c>
      <c r="C8">
        <f>IF(PVL2_mtx_c!C8=0,0,PVL2_mtx_c!C8-3.28)</f>
        <v>38.004428057077405</v>
      </c>
      <c r="D8">
        <f>IF(PVL2_mtx_c!D8=0,0,PVL2_mtx_c!D8-3.28)</f>
        <v>28.29676677558993</v>
      </c>
      <c r="E8">
        <f>IF(PVL2_mtx_c!E8=0,0,PVL2_mtx_c!E8-3.28)</f>
        <v>31.341961238497163</v>
      </c>
      <c r="F8">
        <f>IF(PVL2_mtx_c!F8=0,0,PVL2_mtx_c!F8-3.28)</f>
        <v>41.166473425908606</v>
      </c>
      <c r="G8">
        <f>IF(PVL2_mtx_c!G8=0,0,PVL2_mtx_c!G8-3.28)</f>
        <v>20.712784331961139</v>
      </c>
      <c r="H8">
        <f>IF(PVL2_mtx_c!H8=0,0,PVL2_mtx_c!H8-3.28)</f>
        <v>0</v>
      </c>
      <c r="I8">
        <f>IF(PVL2_mtx_c!I8=0,0,PVL2_mtx_c!I8-3.28)</f>
        <v>32.033896698042263</v>
      </c>
      <c r="J8">
        <f>IF(PVL2_mtx_c!J8=0,0,PVL2_mtx_c!J8-3.28)</f>
        <v>38.924967717082779</v>
      </c>
      <c r="K8">
        <f>IF(PVL2_mtx_c!K8=0,0,PVL2_mtx_c!K8-3.28)</f>
        <v>35.673112840952768</v>
      </c>
      <c r="O8" s="1">
        <f t="shared" si="2"/>
        <v>0.58178803265991541</v>
      </c>
      <c r="P8" s="1">
        <f t="shared" si="0"/>
        <v>0.92318882076400721</v>
      </c>
      <c r="Q8" s="1">
        <f t="shared" si="0"/>
        <v>0.68737407945614859</v>
      </c>
      <c r="R8" s="1">
        <f t="shared" si="0"/>
        <v>0.76134676182322014</v>
      </c>
      <c r="S8" s="1">
        <f t="shared" si="0"/>
        <v>1</v>
      </c>
      <c r="T8" s="1">
        <f t="shared" si="0"/>
        <v>0.50314692049684551</v>
      </c>
      <c r="U8" s="1">
        <f t="shared" si="0"/>
        <v>0</v>
      </c>
      <c r="V8" s="1">
        <f t="shared" si="0"/>
        <v>0.77815498953770845</v>
      </c>
      <c r="W8" s="1">
        <f t="shared" si="1"/>
        <v>0.94555021301836584</v>
      </c>
      <c r="X8" s="1">
        <f t="shared" si="1"/>
        <v>0.86655741607687664</v>
      </c>
    </row>
    <row r="9" spans="1:24" x14ac:dyDescent="0.3">
      <c r="A9" t="s">
        <v>17</v>
      </c>
      <c r="B9">
        <f>IF(PVL2_mtx_c!B9=0,0,PVL2_mtx_c!B9-3.28)</f>
        <v>5.4232465206955958</v>
      </c>
      <c r="C9">
        <f>IF(PVL2_mtx_c!C9=0,0,PVL2_mtx_c!C9-3.28)</f>
        <v>9.8747900021247013</v>
      </c>
      <c r="D9">
        <f>IF(PVL2_mtx_c!D9=0,0,PVL2_mtx_c!D9-3.28)</f>
        <v>1.5505072197441128</v>
      </c>
      <c r="E9">
        <f>IF(PVL2_mtx_c!E9=0,0,PVL2_mtx_c!E9-3.28)</f>
        <v>3.1272615055107589</v>
      </c>
      <c r="F9">
        <f>IF(PVL2_mtx_c!F9=0,0,PVL2_mtx_c!F9-3.28)</f>
        <v>5.9731994466778904</v>
      </c>
      <c r="G9">
        <f>IF(PVL2_mtx_c!G9=0,0,PVL2_mtx_c!G9-3.28)</f>
        <v>8.0538431257892409</v>
      </c>
      <c r="H9">
        <f>IF(PVL2_mtx_c!H9=0,0,PVL2_mtx_c!H9-3.28)</f>
        <v>32.033896698042263</v>
      </c>
      <c r="I9">
        <f>IF(PVL2_mtx_c!I9=0,0,PVL2_mtx_c!I9-3.28)</f>
        <v>0</v>
      </c>
      <c r="J9">
        <f>IF(PVL2_mtx_c!J9=0,0,PVL2_mtx_c!J9-3.28)</f>
        <v>5.01</v>
      </c>
      <c r="K9">
        <f>IF(PVL2_mtx_c!K9=0,0,PVL2_mtx_c!K9-3.28)</f>
        <v>11.870924064227898</v>
      </c>
      <c r="O9" s="1">
        <f t="shared" si="2"/>
        <v>0.13173940027814993</v>
      </c>
      <c r="P9" s="1">
        <f t="shared" si="0"/>
        <v>0.23987456734416035</v>
      </c>
      <c r="Q9" s="1">
        <f t="shared" si="0"/>
        <v>3.766431979010091E-2</v>
      </c>
      <c r="R9" s="1">
        <f t="shared" si="0"/>
        <v>7.5966223124242158E-2</v>
      </c>
      <c r="S9" s="1">
        <f t="shared" si="0"/>
        <v>0.14509864337610681</v>
      </c>
      <c r="T9" s="1">
        <f t="shared" si="0"/>
        <v>0.19564083234587831</v>
      </c>
      <c r="U9" s="1">
        <f t="shared" si="0"/>
        <v>0.77815498953770845</v>
      </c>
      <c r="V9" s="1">
        <f t="shared" si="0"/>
        <v>0</v>
      </c>
      <c r="W9" s="1">
        <f t="shared" si="1"/>
        <v>0.12170097613576239</v>
      </c>
      <c r="X9" s="1">
        <f t="shared" si="1"/>
        <v>0.28836388148703535</v>
      </c>
    </row>
    <row r="10" spans="1:24" x14ac:dyDescent="0.3">
      <c r="A10" t="s">
        <v>18</v>
      </c>
      <c r="B10">
        <f>IF(PVL2_mtx_c!B10=0,0,PVL2_mtx_c!B10-3.28)</f>
        <v>11.671003310814966</v>
      </c>
      <c r="C10">
        <f>IF(PVL2_mtx_c!C10=0,0,PVL2_mtx_c!C10-3.28)</f>
        <v>14.51175651811816</v>
      </c>
      <c r="D10">
        <f>IF(PVL2_mtx_c!D10=0,0,PVL2_mtx_c!D10-3.28)</f>
        <v>9.84</v>
      </c>
      <c r="E10">
        <f>IF(PVL2_mtx_c!E10=0,0,PVL2_mtx_c!E10-3.28)</f>
        <v>10.451314576543647</v>
      </c>
      <c r="F10">
        <f>IF(PVL2_mtx_c!F10=0,0,PVL2_mtx_c!F10-3.28)</f>
        <v>0.93000000000000016</v>
      </c>
      <c r="G10">
        <f>IF(PVL2_mtx_c!G10=0,0,PVL2_mtx_c!G10-3.28)</f>
        <v>15.223729353835674</v>
      </c>
      <c r="H10">
        <f>IF(PVL2_mtx_c!H10=0,0,PVL2_mtx_c!H10-3.28)</f>
        <v>38.924967717082779</v>
      </c>
      <c r="I10">
        <f>IF(PVL2_mtx_c!I10=0,0,PVL2_mtx_c!I10-3.28)</f>
        <v>5.01</v>
      </c>
      <c r="J10">
        <f>IF(PVL2_mtx_c!J10=0,0,PVL2_mtx_c!J10-3.28)</f>
        <v>0</v>
      </c>
      <c r="K10">
        <f>IF(PVL2_mtx_c!K10=0,0,PVL2_mtx_c!K10-3.28)</f>
        <v>17.748620972379523</v>
      </c>
      <c r="O10" s="1">
        <f t="shared" si="2"/>
        <v>0.28350748411375171</v>
      </c>
      <c r="P10" s="1">
        <f t="shared" si="0"/>
        <v>0.352513958822254</v>
      </c>
      <c r="Q10" s="1">
        <f t="shared" si="0"/>
        <v>0.23902946211095846</v>
      </c>
      <c r="R10" s="1">
        <f t="shared" si="0"/>
        <v>0.25387927861622434</v>
      </c>
      <c r="S10" s="1">
        <f t="shared" si="0"/>
        <v>2.2591199162925957E-2</v>
      </c>
      <c r="T10" s="1">
        <f t="shared" si="0"/>
        <v>0.36980892670428361</v>
      </c>
      <c r="U10" s="1">
        <f t="shared" si="0"/>
        <v>0.94555021301836584</v>
      </c>
      <c r="V10" s="1">
        <f t="shared" si="0"/>
        <v>0.12170097613576239</v>
      </c>
      <c r="W10" s="1">
        <f t="shared" si="1"/>
        <v>0</v>
      </c>
      <c r="X10" s="1">
        <f t="shared" si="1"/>
        <v>0.43114261425194655</v>
      </c>
    </row>
    <row r="11" spans="1:24" x14ac:dyDescent="0.3">
      <c r="A11" t="s">
        <v>19</v>
      </c>
      <c r="B11">
        <f>IF(PVL2_mtx_c!B11=0,0,PVL2_mtx_c!B11-3.28)</f>
        <v>16.733667829760737</v>
      </c>
      <c r="C11">
        <f>IF(PVL2_mtx_c!C11=0,0,PVL2_mtx_c!C11-3.28)</f>
        <v>1.0299999999999998</v>
      </c>
      <c r="D11">
        <f>IF(PVL2_mtx_c!D11=0,0,PVL2_mtx_c!D11-3.28)</f>
        <v>9.7856381397924856</v>
      </c>
      <c r="E11">
        <f>IF(PVL2_mtx_c!E11=0,0,PVL2_mtx_c!E11-3.28)</f>
        <v>5.7911686126981454</v>
      </c>
      <c r="F11">
        <f>IF(PVL2_mtx_c!F11=0,0,PVL2_mtx_c!F11-3.28)</f>
        <v>15.532261958626881</v>
      </c>
      <c r="G11">
        <f>IF(PVL2_mtx_c!G11=0,0,PVL2_mtx_c!G11-3.28)</f>
        <v>16.349999999999998</v>
      </c>
      <c r="H11">
        <f>IF(PVL2_mtx_c!H11=0,0,PVL2_mtx_c!H11-3.28)</f>
        <v>35.673112840952768</v>
      </c>
      <c r="I11">
        <f>IF(PVL2_mtx_c!I11=0,0,PVL2_mtx_c!I11-3.28)</f>
        <v>11.870924064227898</v>
      </c>
      <c r="J11">
        <f>IF(PVL2_mtx_c!J11=0,0,PVL2_mtx_c!J11-3.28)</f>
        <v>17.748620972379523</v>
      </c>
      <c r="K11">
        <f>IF(PVL2_mtx_c!K11=0,0,PVL2_mtx_c!K11-3.28)</f>
        <v>0</v>
      </c>
      <c r="O11" s="1">
        <f t="shared" si="2"/>
        <v>0.4064877663100771</v>
      </c>
      <c r="P11" s="1">
        <f t="shared" si="0"/>
        <v>2.5020360363240568E-2</v>
      </c>
      <c r="Q11" s="1">
        <f t="shared" si="0"/>
        <v>0.23770892489502826</v>
      </c>
      <c r="R11" s="1">
        <f t="shared" si="0"/>
        <v>0.14067682098446171</v>
      </c>
      <c r="S11" s="1">
        <f t="shared" si="0"/>
        <v>0.37730368103019163</v>
      </c>
      <c r="T11" s="1">
        <f t="shared" si="0"/>
        <v>0.39716785625144008</v>
      </c>
      <c r="U11" s="1">
        <f t="shared" si="0"/>
        <v>0.86655741607687664</v>
      </c>
      <c r="V11" s="1">
        <f t="shared" si="0"/>
        <v>0.28836388148703535</v>
      </c>
      <c r="W11" s="1">
        <f t="shared" si="1"/>
        <v>0.43114261425194655</v>
      </c>
      <c r="X11" s="1">
        <f t="shared" si="1"/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49B7A-5BED-4219-9216-1FFE1A041AAE}">
  <sheetPr>
    <tabColor theme="4" tint="-0.249977111117893"/>
  </sheetPr>
  <dimension ref="A1:K11"/>
  <sheetViews>
    <sheetView workbookViewId="0">
      <selection activeCell="F46" sqref="F46"/>
    </sheetView>
  </sheetViews>
  <sheetFormatPr defaultRowHeight="14.4" x14ac:dyDescent="0.3"/>
  <cols>
    <col min="1" max="1" width="6.88671875" customWidth="1"/>
  </cols>
  <sheetData>
    <row r="1" spans="1:11" x14ac:dyDescent="0.3"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</row>
    <row r="2" spans="1:11" x14ac:dyDescent="0.3">
      <c r="A2" t="s">
        <v>10</v>
      </c>
      <c r="B2" s="1">
        <v>0</v>
      </c>
      <c r="C2" s="1">
        <v>0.39630040241234754</v>
      </c>
      <c r="D2" s="1">
        <v>9.5243529563148341E-2</v>
      </c>
      <c r="E2" s="1">
        <v>0.19846247006570433</v>
      </c>
      <c r="F2" s="1">
        <v>0.3433303233057749</v>
      </c>
      <c r="G2" s="1">
        <v>1.5060799441950637E-2</v>
      </c>
      <c r="H2" s="1">
        <v>0.58178803265991541</v>
      </c>
      <c r="I2" s="1">
        <v>0.13173940027814993</v>
      </c>
      <c r="J2" s="1">
        <v>0.28350748411375171</v>
      </c>
      <c r="K2" s="1">
        <v>0.4064877663100771</v>
      </c>
    </row>
    <row r="3" spans="1:11" x14ac:dyDescent="0.3">
      <c r="A3" t="s">
        <v>11</v>
      </c>
      <c r="B3" s="1">
        <v>0.39630040241234754</v>
      </c>
      <c r="C3" s="1">
        <v>0</v>
      </c>
      <c r="D3" s="1">
        <v>0.22243246181189649</v>
      </c>
      <c r="E3" s="1">
        <v>0.11925461134063597</v>
      </c>
      <c r="F3" s="1">
        <v>0.28748582407797929</v>
      </c>
      <c r="G3" s="1">
        <v>0.40852629628562298</v>
      </c>
      <c r="H3" s="1">
        <v>0.92318882076400721</v>
      </c>
      <c r="I3" s="1">
        <v>0.23987456734416035</v>
      </c>
      <c r="J3" s="1">
        <v>0.352513958822254</v>
      </c>
      <c r="K3" s="1">
        <v>2.5020360363240568E-2</v>
      </c>
    </row>
    <row r="4" spans="1:11" x14ac:dyDescent="0.3">
      <c r="A4" t="s">
        <v>12</v>
      </c>
      <c r="B4" s="1">
        <v>9.5243529563148341E-2</v>
      </c>
      <c r="C4" s="1">
        <v>0.22243246181189649</v>
      </c>
      <c r="D4" s="1">
        <v>0</v>
      </c>
      <c r="E4" s="1">
        <v>2.4291612003146196E-2</v>
      </c>
      <c r="F4" s="1">
        <v>0.2555590237589368</v>
      </c>
      <c r="G4" s="1">
        <v>0.118592625985236</v>
      </c>
      <c r="H4" s="1">
        <v>0.68737407945614859</v>
      </c>
      <c r="I4" s="1">
        <v>3.766431979010091E-2</v>
      </c>
      <c r="J4" s="1">
        <v>0.23902946211095846</v>
      </c>
      <c r="K4" s="1">
        <v>0.23770892489502826</v>
      </c>
    </row>
    <row r="5" spans="1:11" x14ac:dyDescent="0.3">
      <c r="A5" t="s">
        <v>13</v>
      </c>
      <c r="B5" s="1">
        <v>0.19846247006570433</v>
      </c>
      <c r="C5" s="1">
        <v>0.11925461134063597</v>
      </c>
      <c r="D5" s="1">
        <v>2.4291612003146196E-2</v>
      </c>
      <c r="E5" s="1">
        <v>0</v>
      </c>
      <c r="F5" s="1">
        <v>0.23902946211095846</v>
      </c>
      <c r="G5" s="1">
        <v>0.21415413247068452</v>
      </c>
      <c r="H5" s="1">
        <v>0.76134676182322014</v>
      </c>
      <c r="I5" s="1">
        <v>7.5966223124242158E-2</v>
      </c>
      <c r="J5" s="1">
        <v>0.25387927861622434</v>
      </c>
      <c r="K5" s="1">
        <v>0.14067682098446171</v>
      </c>
    </row>
    <row r="6" spans="1:11" x14ac:dyDescent="0.3">
      <c r="A6" t="s">
        <v>14</v>
      </c>
      <c r="B6" s="1">
        <v>0.3433303233057749</v>
      </c>
      <c r="C6" s="1">
        <v>0.28748582407797929</v>
      </c>
      <c r="D6" s="1">
        <v>0.2555590237589368</v>
      </c>
      <c r="E6" s="1">
        <v>0.23902946211095846</v>
      </c>
      <c r="F6" s="1">
        <v>0</v>
      </c>
      <c r="G6" s="1">
        <v>0.4174085448479179</v>
      </c>
      <c r="H6" s="1">
        <v>1</v>
      </c>
      <c r="I6" s="1">
        <v>0.14509864337610681</v>
      </c>
      <c r="J6" s="1">
        <v>2.2591199162925957E-2</v>
      </c>
      <c r="K6" s="1">
        <v>0.37730368103019163</v>
      </c>
    </row>
    <row r="7" spans="1:11" x14ac:dyDescent="0.3">
      <c r="A7" t="s">
        <v>15</v>
      </c>
      <c r="B7" s="1">
        <v>1.5060799441950637E-2</v>
      </c>
      <c r="C7" s="1">
        <v>0.40852629628562298</v>
      </c>
      <c r="D7" s="1">
        <v>0.118592625985236</v>
      </c>
      <c r="E7" s="1">
        <v>0.21415413247068452</v>
      </c>
      <c r="F7" s="1">
        <v>0.4174085448479179</v>
      </c>
      <c r="G7" s="1">
        <v>0</v>
      </c>
      <c r="H7" s="1">
        <v>0.50314692049684551</v>
      </c>
      <c r="I7" s="1">
        <v>0.19564083234587831</v>
      </c>
      <c r="J7" s="1">
        <v>0.36980892670428361</v>
      </c>
      <c r="K7" s="1">
        <v>0.39716785625144008</v>
      </c>
    </row>
    <row r="8" spans="1:11" x14ac:dyDescent="0.3">
      <c r="A8" t="s">
        <v>16</v>
      </c>
      <c r="B8" s="1">
        <v>0.58178803265991541</v>
      </c>
      <c r="C8" s="1">
        <v>0.92318882076400721</v>
      </c>
      <c r="D8" s="1">
        <v>0.68737407945614859</v>
      </c>
      <c r="E8" s="1">
        <v>0.76134676182322014</v>
      </c>
      <c r="F8" s="1">
        <v>1</v>
      </c>
      <c r="G8" s="1">
        <v>0.50314692049684551</v>
      </c>
      <c r="H8" s="1">
        <v>0</v>
      </c>
      <c r="I8" s="1">
        <v>0.77815498953770845</v>
      </c>
      <c r="J8" s="1">
        <v>0.94555021301836584</v>
      </c>
      <c r="K8" s="1">
        <v>0.86655741607687664</v>
      </c>
    </row>
    <row r="9" spans="1:11" x14ac:dyDescent="0.3">
      <c r="A9" t="s">
        <v>17</v>
      </c>
      <c r="B9" s="1">
        <v>0.13173940027814993</v>
      </c>
      <c r="C9" s="1">
        <v>0.23987456734416035</v>
      </c>
      <c r="D9" s="1">
        <v>3.766431979010091E-2</v>
      </c>
      <c r="E9" s="1">
        <v>7.5966223124242158E-2</v>
      </c>
      <c r="F9" s="1">
        <v>0.14509864337610681</v>
      </c>
      <c r="G9" s="1">
        <v>0.19564083234587831</v>
      </c>
      <c r="H9" s="1">
        <v>0.77815498953770845</v>
      </c>
      <c r="I9" s="1">
        <v>0</v>
      </c>
      <c r="J9" s="1">
        <v>0.12170097613576239</v>
      </c>
      <c r="K9" s="1">
        <v>0.28836388148703535</v>
      </c>
    </row>
    <row r="10" spans="1:11" x14ac:dyDescent="0.3">
      <c r="A10" t="s">
        <v>18</v>
      </c>
      <c r="B10" s="1">
        <v>0.28350748411375171</v>
      </c>
      <c r="C10" s="1">
        <v>0.352513958822254</v>
      </c>
      <c r="D10" s="1">
        <v>0.23902946211095846</v>
      </c>
      <c r="E10" s="1">
        <v>0.25387927861622434</v>
      </c>
      <c r="F10" s="1">
        <v>2.2591199162925957E-2</v>
      </c>
      <c r="G10" s="1">
        <v>0.36980892670428361</v>
      </c>
      <c r="H10" s="1">
        <v>0.94555021301836584</v>
      </c>
      <c r="I10" s="1">
        <v>0.12170097613576239</v>
      </c>
      <c r="J10" s="1">
        <v>0</v>
      </c>
      <c r="K10" s="1">
        <v>0.43114261425194655</v>
      </c>
    </row>
    <row r="11" spans="1:11" x14ac:dyDescent="0.3">
      <c r="A11" t="s">
        <v>19</v>
      </c>
      <c r="B11" s="1">
        <v>0.4064877663100771</v>
      </c>
      <c r="C11" s="1">
        <v>2.5020360363240568E-2</v>
      </c>
      <c r="D11" s="1">
        <v>0.23770892489502826</v>
      </c>
      <c r="E11" s="1">
        <v>0.14067682098446171</v>
      </c>
      <c r="F11" s="1">
        <v>0.37730368103019163</v>
      </c>
      <c r="G11" s="1">
        <v>0.39716785625144008</v>
      </c>
      <c r="H11" s="1">
        <v>0.86655741607687664</v>
      </c>
      <c r="I11" s="1">
        <v>0.28836388148703535</v>
      </c>
      <c r="J11" s="1">
        <v>0.43114261425194655</v>
      </c>
      <c r="K11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59426-1F20-4FE6-9FD2-9EC73329C5AC}">
  <sheetPr>
    <tabColor rgb="FF7030A0"/>
  </sheetPr>
  <dimension ref="A1:G46"/>
  <sheetViews>
    <sheetView workbookViewId="0">
      <pane xSplit="2" ySplit="1" topLeftCell="C2" activePane="bottomRight" state="frozen"/>
      <selection activeCell="F46" sqref="F46"/>
      <selection pane="topRight" activeCell="F46" sqref="F46"/>
      <selection pane="bottomLeft" activeCell="F46" sqref="F46"/>
      <selection pane="bottomRight" activeCell="G1" sqref="G1:G1048576"/>
    </sheetView>
  </sheetViews>
  <sheetFormatPr defaultRowHeight="14.4" x14ac:dyDescent="0.3"/>
  <cols>
    <col min="3" max="5" width="8.88671875" customWidth="1"/>
    <col min="8" max="8" width="16.6640625" bestFit="1" customWidth="1"/>
  </cols>
  <sheetData>
    <row r="1" spans="1:7" x14ac:dyDescent="0.3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27</v>
      </c>
      <c r="G1" t="s">
        <v>41</v>
      </c>
    </row>
    <row r="2" spans="1:7" x14ac:dyDescent="0.3">
      <c r="A2" t="s">
        <v>10</v>
      </c>
      <c r="B2" t="s">
        <v>11</v>
      </c>
      <c r="C2">
        <v>3.46</v>
      </c>
      <c r="D2">
        <v>12.57</v>
      </c>
      <c r="E2">
        <f t="shared" ref="E2:E46" si="0">SQRT(D2^2+C2^2)</f>
        <v>13.037503595397396</v>
      </c>
      <c r="F2">
        <v>13.037503595397396</v>
      </c>
      <c r="G2">
        <f>F2/MAX($F$2:$F$46)</f>
        <v>0.26796870313859311</v>
      </c>
    </row>
    <row r="3" spans="1:7" x14ac:dyDescent="0.3">
      <c r="A3" t="s">
        <v>10</v>
      </c>
      <c r="B3" t="s">
        <v>12</v>
      </c>
      <c r="C3">
        <v>4.42</v>
      </c>
      <c r="D3">
        <v>6.02</v>
      </c>
      <c r="E3">
        <f t="shared" si="0"/>
        <v>7.4683867066455516</v>
      </c>
      <c r="F3">
        <v>7.4683867066455516</v>
      </c>
      <c r="G3">
        <f t="shared" ref="G3:G46" si="1">F3/MAX($F$2:$F$46)</f>
        <v>0.15350284551590304</v>
      </c>
    </row>
    <row r="4" spans="1:7" x14ac:dyDescent="0.3">
      <c r="A4" t="s">
        <v>10</v>
      </c>
      <c r="B4" t="s">
        <v>13</v>
      </c>
      <c r="C4">
        <v>8.27</v>
      </c>
      <c r="D4">
        <v>7.19</v>
      </c>
      <c r="E4">
        <f t="shared" si="0"/>
        <v>10.958512672803732</v>
      </c>
      <c r="F4">
        <v>10.958512672803732</v>
      </c>
      <c r="G4">
        <f t="shared" si="1"/>
        <v>0.22523778480841486</v>
      </c>
    </row>
    <row r="5" spans="1:7" x14ac:dyDescent="0.3">
      <c r="A5" t="s">
        <v>10</v>
      </c>
      <c r="B5" t="s">
        <v>14</v>
      </c>
      <c r="C5">
        <v>38.869999999999997</v>
      </c>
      <c r="D5">
        <v>10.81</v>
      </c>
      <c r="E5">
        <f t="shared" si="0"/>
        <v>40.345173193332556</v>
      </c>
      <c r="F5">
        <v>40.345173193332556</v>
      </c>
      <c r="G5">
        <f t="shared" si="1"/>
        <v>0.8292418605610915</v>
      </c>
    </row>
    <row r="6" spans="1:7" x14ac:dyDescent="0.3">
      <c r="A6" t="s">
        <v>10</v>
      </c>
      <c r="B6" t="s">
        <v>15</v>
      </c>
      <c r="C6">
        <v>5.01</v>
      </c>
      <c r="D6">
        <v>4.26</v>
      </c>
      <c r="E6">
        <f t="shared" si="0"/>
        <v>6.5762983508961934</v>
      </c>
      <c r="F6">
        <v>6.5762983508961934</v>
      </c>
      <c r="G6">
        <f t="shared" si="1"/>
        <v>0.13516714512464198</v>
      </c>
    </row>
    <row r="7" spans="1:7" x14ac:dyDescent="0.3">
      <c r="A7" t="s">
        <v>10</v>
      </c>
      <c r="B7" t="s">
        <v>16</v>
      </c>
      <c r="C7">
        <v>2.93</v>
      </c>
      <c r="D7">
        <v>20.97</v>
      </c>
      <c r="E7">
        <f t="shared" si="0"/>
        <v>21.173705391357458</v>
      </c>
      <c r="F7">
        <v>21.173705391357458</v>
      </c>
      <c r="G7">
        <f t="shared" si="1"/>
        <v>0.43519760764351678</v>
      </c>
    </row>
    <row r="8" spans="1:7" x14ac:dyDescent="0.3">
      <c r="A8" t="s">
        <v>10</v>
      </c>
      <c r="B8" t="s">
        <v>17</v>
      </c>
      <c r="C8">
        <v>4.42</v>
      </c>
      <c r="D8">
        <v>13.56</v>
      </c>
      <c r="E8">
        <f t="shared" si="0"/>
        <v>14.262187770464951</v>
      </c>
      <c r="F8">
        <v>14.262187770464951</v>
      </c>
      <c r="G8">
        <f t="shared" si="1"/>
        <v>0.29314047223885753</v>
      </c>
    </row>
    <row r="9" spans="1:7" x14ac:dyDescent="0.3">
      <c r="A9" t="s">
        <v>10</v>
      </c>
      <c r="B9" t="s">
        <v>18</v>
      </c>
      <c r="C9">
        <v>42.06</v>
      </c>
      <c r="D9">
        <v>15.89</v>
      </c>
      <c r="E9">
        <f t="shared" si="0"/>
        <v>44.961491300889925</v>
      </c>
      <c r="F9">
        <v>44.961491300889925</v>
      </c>
      <c r="G9">
        <f t="shared" si="1"/>
        <v>0.92412419501306886</v>
      </c>
    </row>
    <row r="10" spans="1:7" x14ac:dyDescent="0.3">
      <c r="A10" t="s">
        <v>10</v>
      </c>
      <c r="B10" t="s">
        <v>19</v>
      </c>
      <c r="C10">
        <v>0.75</v>
      </c>
      <c r="D10">
        <v>12.28</v>
      </c>
      <c r="E10">
        <f t="shared" si="0"/>
        <v>12.302881776234379</v>
      </c>
      <c r="F10">
        <v>12.302881776234379</v>
      </c>
      <c r="G10">
        <f t="shared" si="1"/>
        <v>0.25286951986796119</v>
      </c>
    </row>
    <row r="11" spans="1:7" x14ac:dyDescent="0.3">
      <c r="A11" t="s">
        <v>11</v>
      </c>
      <c r="B11" t="s">
        <v>12</v>
      </c>
      <c r="C11">
        <v>6.52</v>
      </c>
      <c r="D11">
        <v>7.92</v>
      </c>
      <c r="E11">
        <f t="shared" si="0"/>
        <v>10.258498915533401</v>
      </c>
      <c r="F11">
        <v>10.258498915533401</v>
      </c>
      <c r="G11">
        <f t="shared" si="1"/>
        <v>0.21084992463699939</v>
      </c>
    </row>
    <row r="12" spans="1:7" x14ac:dyDescent="0.3">
      <c r="A12" t="s">
        <v>11</v>
      </c>
      <c r="B12" t="s">
        <v>13</v>
      </c>
      <c r="C12">
        <v>11.72</v>
      </c>
      <c r="D12">
        <v>5.46</v>
      </c>
      <c r="E12">
        <f t="shared" si="0"/>
        <v>12.929423807734048</v>
      </c>
      <c r="F12">
        <v>12.929423807734048</v>
      </c>
      <c r="G12">
        <f t="shared" si="1"/>
        <v>0.26574726555096584</v>
      </c>
    </row>
    <row r="13" spans="1:7" x14ac:dyDescent="0.3">
      <c r="A13" t="s">
        <v>11</v>
      </c>
      <c r="B13" t="s">
        <v>14</v>
      </c>
      <c r="C13">
        <v>42.37</v>
      </c>
      <c r="D13">
        <v>1.69</v>
      </c>
      <c r="E13">
        <f t="shared" si="0"/>
        <v>42.403690877092288</v>
      </c>
      <c r="F13">
        <v>42.403690877092288</v>
      </c>
      <c r="G13">
        <f t="shared" si="1"/>
        <v>0.87155197845050802</v>
      </c>
    </row>
    <row r="14" spans="1:7" x14ac:dyDescent="0.3">
      <c r="A14" t="s">
        <v>11</v>
      </c>
      <c r="B14" t="s">
        <v>15</v>
      </c>
      <c r="C14">
        <v>1.6</v>
      </c>
      <c r="D14">
        <v>8.31</v>
      </c>
      <c r="E14">
        <f t="shared" si="0"/>
        <v>8.4626296149601163</v>
      </c>
      <c r="F14">
        <v>8.4626296149601163</v>
      </c>
      <c r="G14">
        <f t="shared" si="1"/>
        <v>0.173938198096734</v>
      </c>
    </row>
    <row r="15" spans="1:7" x14ac:dyDescent="0.3">
      <c r="A15" t="s">
        <v>11</v>
      </c>
      <c r="B15" t="s">
        <v>16</v>
      </c>
      <c r="C15">
        <v>6.52</v>
      </c>
      <c r="D15">
        <v>7.7</v>
      </c>
      <c r="E15">
        <f t="shared" si="0"/>
        <v>10.089618426878193</v>
      </c>
      <c r="F15">
        <v>10.089618426878193</v>
      </c>
      <c r="G15">
        <f t="shared" si="1"/>
        <v>0.20737880877503911</v>
      </c>
    </row>
    <row r="16" spans="1:7" x14ac:dyDescent="0.3">
      <c r="A16" t="s">
        <v>11</v>
      </c>
      <c r="B16" t="s">
        <v>17</v>
      </c>
      <c r="C16">
        <v>7.92</v>
      </c>
      <c r="D16">
        <v>0.99</v>
      </c>
      <c r="E16">
        <f t="shared" si="0"/>
        <v>7.9816351708155642</v>
      </c>
      <c r="F16">
        <v>7.9816351708155642</v>
      </c>
      <c r="G16">
        <f t="shared" si="1"/>
        <v>0.16405199124193501</v>
      </c>
    </row>
    <row r="17" spans="1:7" x14ac:dyDescent="0.3">
      <c r="A17" t="s">
        <v>11</v>
      </c>
      <c r="B17" t="s">
        <v>18</v>
      </c>
      <c r="C17">
        <v>45.6</v>
      </c>
      <c r="D17">
        <v>3.32</v>
      </c>
      <c r="E17">
        <f t="shared" si="0"/>
        <v>45.720699907153652</v>
      </c>
      <c r="F17">
        <v>45.720699907153652</v>
      </c>
      <c r="G17">
        <f t="shared" si="1"/>
        <v>0.93972872728748147</v>
      </c>
    </row>
    <row r="18" spans="1:7" x14ac:dyDescent="0.3">
      <c r="A18" t="s">
        <v>11</v>
      </c>
      <c r="B18" t="s">
        <v>19</v>
      </c>
      <c r="C18">
        <v>4.4000000000000004</v>
      </c>
      <c r="D18">
        <v>0.28000000000000003</v>
      </c>
      <c r="E18">
        <f t="shared" si="0"/>
        <v>4.4089000895915076</v>
      </c>
      <c r="F18">
        <v>4.4089000895915076</v>
      </c>
      <c r="G18">
        <f t="shared" si="1"/>
        <v>9.0619130467012657E-2</v>
      </c>
    </row>
    <row r="19" spans="1:7" x14ac:dyDescent="0.3">
      <c r="A19" t="s">
        <v>12</v>
      </c>
      <c r="B19" t="s">
        <v>13</v>
      </c>
      <c r="C19">
        <v>3.8</v>
      </c>
      <c r="D19">
        <v>0.98</v>
      </c>
      <c r="E19">
        <f t="shared" si="0"/>
        <v>3.9243343384579248</v>
      </c>
      <c r="F19">
        <v>3.9243343384579248</v>
      </c>
      <c r="G19">
        <f t="shared" si="1"/>
        <v>8.0659520103991592E-2</v>
      </c>
    </row>
    <row r="20" spans="1:7" x14ac:dyDescent="0.3">
      <c r="A20" t="s">
        <v>12</v>
      </c>
      <c r="B20" t="s">
        <v>14</v>
      </c>
      <c r="C20">
        <v>34.450000000000003</v>
      </c>
      <c r="D20">
        <v>4.54</v>
      </c>
      <c r="E20">
        <f t="shared" si="0"/>
        <v>34.747864682595967</v>
      </c>
      <c r="F20">
        <v>34.747864682595967</v>
      </c>
      <c r="G20">
        <f t="shared" si="1"/>
        <v>0.7141965613047061</v>
      </c>
    </row>
    <row r="21" spans="1:7" x14ac:dyDescent="0.3">
      <c r="A21" t="s">
        <v>12</v>
      </c>
      <c r="B21" t="s">
        <v>15</v>
      </c>
      <c r="C21">
        <v>9.5299999999999994</v>
      </c>
      <c r="D21">
        <v>1.9</v>
      </c>
      <c r="E21">
        <f t="shared" si="0"/>
        <v>9.7175562771717452</v>
      </c>
      <c r="F21">
        <v>9.7175562771717452</v>
      </c>
      <c r="G21">
        <f t="shared" si="1"/>
        <v>0.1997315616610294</v>
      </c>
    </row>
    <row r="22" spans="1:7" x14ac:dyDescent="0.3">
      <c r="A22" t="s">
        <v>12</v>
      </c>
      <c r="B22" t="s">
        <v>16</v>
      </c>
      <c r="C22">
        <v>1.5</v>
      </c>
      <c r="D22">
        <v>13.99</v>
      </c>
      <c r="E22">
        <f t="shared" si="0"/>
        <v>14.070184789120574</v>
      </c>
      <c r="F22">
        <v>14.070184789120574</v>
      </c>
      <c r="G22">
        <f t="shared" si="1"/>
        <v>0.28919410401482426</v>
      </c>
    </row>
    <row r="23" spans="1:7" x14ac:dyDescent="0.3">
      <c r="A23" t="s">
        <v>12</v>
      </c>
      <c r="B23" t="s">
        <v>17</v>
      </c>
      <c r="C23">
        <v>0</v>
      </c>
      <c r="D23">
        <v>7.41</v>
      </c>
      <c r="E23">
        <f t="shared" si="0"/>
        <v>7.41</v>
      </c>
      <c r="F23">
        <v>7.41</v>
      </c>
      <c r="G23">
        <f t="shared" si="1"/>
        <v>0.15230278371374442</v>
      </c>
    </row>
    <row r="24" spans="1:7" x14ac:dyDescent="0.3">
      <c r="A24" t="s">
        <v>12</v>
      </c>
      <c r="B24" t="s">
        <v>18</v>
      </c>
      <c r="C24">
        <v>37.630000000000003</v>
      </c>
      <c r="D24">
        <v>9.74</v>
      </c>
      <c r="E24">
        <f t="shared" si="0"/>
        <v>38.870097761647067</v>
      </c>
      <c r="F24">
        <v>38.870097761647067</v>
      </c>
      <c r="G24">
        <f t="shared" si="1"/>
        <v>0.79892362919355397</v>
      </c>
    </row>
    <row r="25" spans="1:7" x14ac:dyDescent="0.3">
      <c r="A25" t="s">
        <v>12</v>
      </c>
      <c r="B25" t="s">
        <v>19</v>
      </c>
      <c r="C25">
        <v>3.57</v>
      </c>
      <c r="D25">
        <v>6.02</v>
      </c>
      <c r="E25">
        <f t="shared" si="0"/>
        <v>6.9989499212381849</v>
      </c>
      <c r="F25">
        <v>6.9989499212381849</v>
      </c>
      <c r="G25">
        <f t="shared" si="1"/>
        <v>0.1438541911035989</v>
      </c>
    </row>
    <row r="26" spans="1:7" x14ac:dyDescent="0.3">
      <c r="A26" t="s">
        <v>13</v>
      </c>
      <c r="B26" t="s">
        <v>14</v>
      </c>
      <c r="C26">
        <v>30.65</v>
      </c>
      <c r="D26">
        <v>3.56</v>
      </c>
      <c r="E26">
        <f t="shared" si="0"/>
        <v>30.856054511230042</v>
      </c>
      <c r="F26">
        <v>30.856054511230042</v>
      </c>
      <c r="G26">
        <f t="shared" si="1"/>
        <v>0.63420553258884982</v>
      </c>
    </row>
    <row r="27" spans="1:7" x14ac:dyDescent="0.3">
      <c r="A27" t="s">
        <v>13</v>
      </c>
      <c r="B27" t="s">
        <v>15</v>
      </c>
      <c r="C27">
        <v>13.33</v>
      </c>
      <c r="D27">
        <v>2.85</v>
      </c>
      <c r="E27">
        <f t="shared" si="0"/>
        <v>13.631265531857267</v>
      </c>
      <c r="F27">
        <v>13.631265531857267</v>
      </c>
      <c r="G27">
        <f t="shared" si="1"/>
        <v>0.28017269717180521</v>
      </c>
    </row>
    <row r="28" spans="1:7" x14ac:dyDescent="0.3">
      <c r="A28" t="s">
        <v>13</v>
      </c>
      <c r="B28" t="s">
        <v>16</v>
      </c>
      <c r="C28">
        <v>5.3</v>
      </c>
      <c r="D28">
        <v>13.13</v>
      </c>
      <c r="E28">
        <f t="shared" si="0"/>
        <v>14.159339673868976</v>
      </c>
      <c r="F28">
        <v>14.159339673868976</v>
      </c>
      <c r="G28">
        <f t="shared" si="1"/>
        <v>0.29102656516581743</v>
      </c>
    </row>
    <row r="29" spans="1:7" x14ac:dyDescent="0.3">
      <c r="A29" t="s">
        <v>13</v>
      </c>
      <c r="B29" t="s">
        <v>17</v>
      </c>
      <c r="C29">
        <v>3.8</v>
      </c>
      <c r="D29">
        <v>6.43</v>
      </c>
      <c r="E29">
        <f t="shared" si="0"/>
        <v>7.4689289727510459</v>
      </c>
      <c r="F29">
        <v>7.4689289727510459</v>
      </c>
      <c r="G29">
        <f t="shared" si="1"/>
        <v>0.15351399108100161</v>
      </c>
    </row>
    <row r="30" spans="1:7" x14ac:dyDescent="0.3">
      <c r="A30" t="s">
        <v>13</v>
      </c>
      <c r="B30" t="s">
        <v>18</v>
      </c>
      <c r="C30">
        <v>33.92</v>
      </c>
      <c r="D30">
        <v>9.0500000000000007</v>
      </c>
      <c r="E30">
        <f t="shared" si="0"/>
        <v>35.106536428420277</v>
      </c>
      <c r="F30">
        <v>35.106536428420277</v>
      </c>
      <c r="G30">
        <f t="shared" si="1"/>
        <v>0.72156858631530141</v>
      </c>
    </row>
    <row r="31" spans="1:7" x14ac:dyDescent="0.3">
      <c r="A31" t="s">
        <v>13</v>
      </c>
      <c r="B31" t="s">
        <v>19</v>
      </c>
      <c r="C31">
        <v>7.37</v>
      </c>
      <c r="D31">
        <v>5.04</v>
      </c>
      <c r="E31">
        <f t="shared" si="0"/>
        <v>8.9285217141473101</v>
      </c>
      <c r="F31">
        <v>8.9285217141473101</v>
      </c>
      <c r="G31">
        <f t="shared" si="1"/>
        <v>0.18351399615563407</v>
      </c>
    </row>
    <row r="32" spans="1:7" x14ac:dyDescent="0.3">
      <c r="A32" t="s">
        <v>14</v>
      </c>
      <c r="B32" t="s">
        <v>15</v>
      </c>
      <c r="C32">
        <v>43.97</v>
      </c>
      <c r="D32">
        <v>6.43</v>
      </c>
      <c r="E32">
        <f t="shared" si="0"/>
        <v>44.437661954697845</v>
      </c>
      <c r="F32">
        <v>44.437661954697845</v>
      </c>
      <c r="G32">
        <f t="shared" si="1"/>
        <v>0.91335757320254185</v>
      </c>
    </row>
    <row r="33" spans="1:7" x14ac:dyDescent="0.3">
      <c r="A33" t="s">
        <v>14</v>
      </c>
      <c r="B33" t="s">
        <v>16</v>
      </c>
      <c r="C33">
        <v>35.74</v>
      </c>
      <c r="D33">
        <v>9.4600000000000009</v>
      </c>
      <c r="E33">
        <f t="shared" si="0"/>
        <v>36.970788468735691</v>
      </c>
      <c r="F33">
        <v>36.970788468735691</v>
      </c>
      <c r="G33">
        <f t="shared" si="1"/>
        <v>0.75988582994338039</v>
      </c>
    </row>
    <row r="34" spans="1:7" x14ac:dyDescent="0.3">
      <c r="A34" t="s">
        <v>14</v>
      </c>
      <c r="B34" t="s">
        <v>17</v>
      </c>
      <c r="C34">
        <v>34.450000000000003</v>
      </c>
      <c r="D34">
        <v>2.62</v>
      </c>
      <c r="E34">
        <f t="shared" si="0"/>
        <v>34.549484800789728</v>
      </c>
      <c r="F34">
        <v>34.549484800789728</v>
      </c>
      <c r="G34">
        <f t="shared" si="1"/>
        <v>0.71011912429635338</v>
      </c>
    </row>
    <row r="35" spans="1:7" x14ac:dyDescent="0.3">
      <c r="A35" t="s">
        <v>14</v>
      </c>
      <c r="B35" t="s">
        <v>18</v>
      </c>
      <c r="C35">
        <v>3.19</v>
      </c>
      <c r="D35">
        <v>5.2</v>
      </c>
      <c r="E35">
        <f t="shared" si="0"/>
        <v>6.1004999795098769</v>
      </c>
      <c r="F35">
        <v>6.1004999795098769</v>
      </c>
      <c r="G35">
        <f t="shared" si="1"/>
        <v>0.12538773669703038</v>
      </c>
    </row>
    <row r="36" spans="1:7" x14ac:dyDescent="0.3">
      <c r="A36" t="s">
        <v>14</v>
      </c>
      <c r="B36" t="s">
        <v>19</v>
      </c>
      <c r="C36">
        <v>38.01</v>
      </c>
      <c r="D36">
        <v>1.36</v>
      </c>
      <c r="E36">
        <f t="shared" si="0"/>
        <v>38.034322657305204</v>
      </c>
      <c r="F36">
        <v>38.034322657305204</v>
      </c>
      <c r="G36">
        <f t="shared" si="1"/>
        <v>0.78174537346482098</v>
      </c>
    </row>
    <row r="37" spans="1:7" x14ac:dyDescent="0.3">
      <c r="A37" t="s">
        <v>15</v>
      </c>
      <c r="B37" t="s">
        <v>16</v>
      </c>
      <c r="C37">
        <v>8.0500000000000007</v>
      </c>
      <c r="D37">
        <v>15.98</v>
      </c>
      <c r="E37">
        <f t="shared" si="0"/>
        <v>17.893096434099942</v>
      </c>
      <c r="F37">
        <v>17.893096434099942</v>
      </c>
      <c r="G37">
        <f t="shared" si="1"/>
        <v>0.36776901432819098</v>
      </c>
    </row>
    <row r="38" spans="1:7" x14ac:dyDescent="0.3">
      <c r="A38" t="s">
        <v>15</v>
      </c>
      <c r="B38" t="s">
        <v>17</v>
      </c>
      <c r="C38">
        <v>9.5299999999999994</v>
      </c>
      <c r="D38">
        <v>9.15</v>
      </c>
      <c r="E38">
        <f t="shared" si="0"/>
        <v>13.211487425721602</v>
      </c>
      <c r="F38">
        <v>13.211487425721602</v>
      </c>
      <c r="G38">
        <f t="shared" si="1"/>
        <v>0.27154471146241987</v>
      </c>
    </row>
    <row r="39" spans="1:7" x14ac:dyDescent="0.3">
      <c r="A39" t="s">
        <v>15</v>
      </c>
      <c r="B39" t="s">
        <v>18</v>
      </c>
      <c r="C39">
        <v>47.25</v>
      </c>
      <c r="D39">
        <v>11.6</v>
      </c>
      <c r="E39">
        <f t="shared" si="0"/>
        <v>48.653083149991637</v>
      </c>
      <c r="F39">
        <v>48.653083149991637</v>
      </c>
      <c r="G39">
        <f t="shared" si="1"/>
        <v>1</v>
      </c>
    </row>
    <row r="40" spans="1:7" x14ac:dyDescent="0.3">
      <c r="A40" t="s">
        <v>15</v>
      </c>
      <c r="B40" t="s">
        <v>19</v>
      </c>
      <c r="C40">
        <v>5.96</v>
      </c>
      <c r="D40">
        <v>7.89</v>
      </c>
      <c r="E40">
        <f t="shared" si="0"/>
        <v>9.8880584545197738</v>
      </c>
      <c r="F40">
        <v>9.8880584545197738</v>
      </c>
      <c r="G40">
        <f t="shared" si="1"/>
        <v>0.20323600919670542</v>
      </c>
    </row>
    <row r="41" spans="1:7" x14ac:dyDescent="0.3">
      <c r="A41" t="s">
        <v>16</v>
      </c>
      <c r="B41" t="s">
        <v>17</v>
      </c>
      <c r="C41">
        <v>1.47</v>
      </c>
      <c r="D41">
        <v>6.72</v>
      </c>
      <c r="E41">
        <f t="shared" si="0"/>
        <v>6.8789025287468633</v>
      </c>
      <c r="F41">
        <v>6.8789025287468633</v>
      </c>
      <c r="G41">
        <f t="shared" si="1"/>
        <v>0.14138677517188436</v>
      </c>
    </row>
    <row r="42" spans="1:7" x14ac:dyDescent="0.3">
      <c r="A42" t="s">
        <v>16</v>
      </c>
      <c r="B42" t="s">
        <v>18</v>
      </c>
      <c r="C42">
        <v>39.200000000000003</v>
      </c>
      <c r="D42">
        <v>4.38</v>
      </c>
      <c r="E42">
        <f t="shared" si="0"/>
        <v>39.44393996547506</v>
      </c>
      <c r="F42">
        <v>39.44393996547506</v>
      </c>
      <c r="G42">
        <f t="shared" si="1"/>
        <v>0.81071819937647338</v>
      </c>
    </row>
    <row r="43" spans="1:7" x14ac:dyDescent="0.3">
      <c r="A43" t="s">
        <v>16</v>
      </c>
      <c r="B43" t="s">
        <v>19</v>
      </c>
      <c r="C43">
        <v>2.09</v>
      </c>
      <c r="D43">
        <v>8.09</v>
      </c>
      <c r="E43">
        <f t="shared" si="0"/>
        <v>8.355608894628805</v>
      </c>
      <c r="F43">
        <v>8.355608894628805</v>
      </c>
      <c r="G43">
        <f t="shared" si="1"/>
        <v>0.17173852824227936</v>
      </c>
    </row>
    <row r="44" spans="1:7" x14ac:dyDescent="0.3">
      <c r="A44" t="s">
        <v>17</v>
      </c>
      <c r="B44" t="s">
        <v>18</v>
      </c>
      <c r="C44">
        <v>37.630000000000003</v>
      </c>
      <c r="D44">
        <v>2.6</v>
      </c>
      <c r="E44">
        <f t="shared" si="0"/>
        <v>37.719715004225577</v>
      </c>
      <c r="F44">
        <v>37.719715004225577</v>
      </c>
      <c r="G44">
        <f t="shared" si="1"/>
        <v>0.77527902780467595</v>
      </c>
    </row>
    <row r="45" spans="1:7" x14ac:dyDescent="0.3">
      <c r="A45" t="s">
        <v>17</v>
      </c>
      <c r="B45" t="s">
        <v>19</v>
      </c>
      <c r="C45">
        <v>3.57</v>
      </c>
      <c r="D45">
        <v>1.26</v>
      </c>
      <c r="E45">
        <f t="shared" si="0"/>
        <v>3.7858288392371886</v>
      </c>
      <c r="F45">
        <v>3.7858288392371886</v>
      </c>
      <c r="G45">
        <f t="shared" si="1"/>
        <v>7.7812722116005081E-2</v>
      </c>
    </row>
    <row r="46" spans="1:7" x14ac:dyDescent="0.3">
      <c r="A46" t="s">
        <v>18</v>
      </c>
      <c r="B46" t="s">
        <v>19</v>
      </c>
      <c r="C46">
        <v>41.2</v>
      </c>
      <c r="D46">
        <v>3.86</v>
      </c>
      <c r="E46">
        <f t="shared" si="0"/>
        <v>41.38042532405872</v>
      </c>
      <c r="F46">
        <v>41.38042532405872</v>
      </c>
      <c r="G46">
        <f t="shared" si="1"/>
        <v>0.85052010365895658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FD71E-4E37-4BEF-BE16-F550A5C42868}">
  <sheetPr>
    <tabColor rgb="FF7030A0"/>
  </sheetPr>
  <dimension ref="A1:X11"/>
  <sheetViews>
    <sheetView workbookViewId="0">
      <selection activeCell="F46" sqref="F46"/>
    </sheetView>
  </sheetViews>
  <sheetFormatPr defaultRowHeight="14.4" x14ac:dyDescent="0.3"/>
  <cols>
    <col min="1" max="1" width="6" customWidth="1"/>
    <col min="15" max="24" width="9.109375" style="1"/>
  </cols>
  <sheetData>
    <row r="1" spans="1:24" x14ac:dyDescent="0.3"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/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</row>
    <row r="2" spans="1:24" x14ac:dyDescent="0.3">
      <c r="A2" t="s">
        <v>10</v>
      </c>
      <c r="B2" s="1">
        <v>0</v>
      </c>
      <c r="C2">
        <v>13.037503595397396</v>
      </c>
      <c r="D2">
        <v>7.4683867066455516</v>
      </c>
      <c r="E2">
        <v>10.958512672803732</v>
      </c>
      <c r="F2">
        <v>40.345173193332556</v>
      </c>
      <c r="G2">
        <v>6.5762983508961934</v>
      </c>
      <c r="H2">
        <v>21.173705391357458</v>
      </c>
      <c r="I2">
        <v>14.262187770464951</v>
      </c>
      <c r="J2">
        <v>44.961491300889925</v>
      </c>
      <c r="K2">
        <v>12.302881776234379</v>
      </c>
      <c r="L2" s="1"/>
      <c r="O2" s="1">
        <f>B2/$M$3</f>
        <v>0</v>
      </c>
      <c r="P2" s="1">
        <f t="shared" ref="P2:V11" si="0">C2/$M$3</f>
        <v>0.26796870313859311</v>
      </c>
      <c r="Q2" s="1">
        <f t="shared" si="0"/>
        <v>0.15350284551590304</v>
      </c>
      <c r="R2" s="1">
        <f t="shared" si="0"/>
        <v>0.22523778480841486</v>
      </c>
      <c r="S2" s="1">
        <f t="shared" si="0"/>
        <v>0.8292418605610915</v>
      </c>
      <c r="T2" s="1">
        <f t="shared" si="0"/>
        <v>0.13516714512464198</v>
      </c>
      <c r="U2" s="1">
        <f t="shared" si="0"/>
        <v>0.43519760764351678</v>
      </c>
      <c r="V2" s="1">
        <f>I2/$M$3</f>
        <v>0.29314047223885753</v>
      </c>
      <c r="W2" s="1">
        <f t="shared" ref="W2:X11" si="1">J2/$M$3</f>
        <v>0.92412419501306886</v>
      </c>
      <c r="X2" s="1">
        <f>K2/$M$3</f>
        <v>0.25286951986796119</v>
      </c>
    </row>
    <row r="3" spans="1:24" x14ac:dyDescent="0.3">
      <c r="A3" t="s">
        <v>11</v>
      </c>
      <c r="B3">
        <v>13.037503595397396</v>
      </c>
      <c r="C3" s="1">
        <v>0</v>
      </c>
      <c r="D3">
        <v>10.258498915533401</v>
      </c>
      <c r="E3">
        <v>12.929423807734048</v>
      </c>
      <c r="F3">
        <v>42.403690877092288</v>
      </c>
      <c r="G3">
        <v>8.4626296149601163</v>
      </c>
      <c r="H3">
        <v>10.089618426878193</v>
      </c>
      <c r="I3">
        <v>7.9816351708155642</v>
      </c>
      <c r="J3">
        <v>45.720699907153652</v>
      </c>
      <c r="K3">
        <v>4.4089000895915076</v>
      </c>
      <c r="M3">
        <f>MAX(B2:K11)</f>
        <v>48.653083149991637</v>
      </c>
      <c r="O3" s="1">
        <f t="shared" ref="O3:O11" si="2">B3/$M$3</f>
        <v>0.26796870313859311</v>
      </c>
      <c r="P3" s="1">
        <f t="shared" si="0"/>
        <v>0</v>
      </c>
      <c r="Q3" s="1">
        <f t="shared" si="0"/>
        <v>0.21084992463699939</v>
      </c>
      <c r="R3" s="1">
        <f t="shared" si="0"/>
        <v>0.26574726555096584</v>
      </c>
      <c r="S3" s="1">
        <f t="shared" si="0"/>
        <v>0.87155197845050802</v>
      </c>
      <c r="T3" s="1">
        <f t="shared" si="0"/>
        <v>0.173938198096734</v>
      </c>
      <c r="U3" s="1">
        <f t="shared" si="0"/>
        <v>0.20737880877503911</v>
      </c>
      <c r="V3" s="1">
        <f t="shared" si="0"/>
        <v>0.16405199124193501</v>
      </c>
      <c r="W3" s="1">
        <f t="shared" si="1"/>
        <v>0.93972872728748147</v>
      </c>
      <c r="X3" s="1">
        <f t="shared" si="1"/>
        <v>9.0619130467012657E-2</v>
      </c>
    </row>
    <row r="4" spans="1:24" x14ac:dyDescent="0.3">
      <c r="A4" t="s">
        <v>12</v>
      </c>
      <c r="B4">
        <v>7.4683867066455516</v>
      </c>
      <c r="C4">
        <v>10.258498915533401</v>
      </c>
      <c r="D4" s="1">
        <v>0</v>
      </c>
      <c r="E4">
        <v>3.9243343384579248</v>
      </c>
      <c r="F4">
        <v>34.747864682595967</v>
      </c>
      <c r="G4">
        <v>9.7175562771717452</v>
      </c>
      <c r="H4">
        <v>14.070184789120574</v>
      </c>
      <c r="I4">
        <v>7.41</v>
      </c>
      <c r="J4">
        <v>38.870097761647067</v>
      </c>
      <c r="K4">
        <v>6.9989499212381849</v>
      </c>
      <c r="O4" s="1">
        <f t="shared" si="2"/>
        <v>0.15350284551590304</v>
      </c>
      <c r="P4" s="1">
        <f t="shared" si="0"/>
        <v>0.21084992463699939</v>
      </c>
      <c r="Q4" s="1">
        <f t="shared" si="0"/>
        <v>0</v>
      </c>
      <c r="R4" s="1">
        <f t="shared" si="0"/>
        <v>8.0659520103991592E-2</v>
      </c>
      <c r="S4" s="1">
        <f t="shared" si="0"/>
        <v>0.7141965613047061</v>
      </c>
      <c r="T4" s="1">
        <f t="shared" si="0"/>
        <v>0.1997315616610294</v>
      </c>
      <c r="U4" s="1">
        <f t="shared" si="0"/>
        <v>0.28919410401482426</v>
      </c>
      <c r="V4" s="1">
        <f t="shared" si="0"/>
        <v>0.15230278371374442</v>
      </c>
      <c r="W4" s="1">
        <f t="shared" si="1"/>
        <v>0.79892362919355397</v>
      </c>
      <c r="X4" s="1">
        <f t="shared" si="1"/>
        <v>0.1438541911035989</v>
      </c>
    </row>
    <row r="5" spans="1:24" x14ac:dyDescent="0.3">
      <c r="A5" t="s">
        <v>13</v>
      </c>
      <c r="B5">
        <v>10.958512672803732</v>
      </c>
      <c r="C5">
        <v>12.929423807734048</v>
      </c>
      <c r="D5">
        <v>3.9243343384579248</v>
      </c>
      <c r="E5" s="1">
        <v>0</v>
      </c>
      <c r="F5">
        <v>30.856054511230042</v>
      </c>
      <c r="G5">
        <v>13.631265531857267</v>
      </c>
      <c r="H5">
        <v>14.159339673868976</v>
      </c>
      <c r="I5">
        <v>7.4689289727510459</v>
      </c>
      <c r="J5">
        <v>35.106536428420277</v>
      </c>
      <c r="K5">
        <v>8.9285217141473101</v>
      </c>
      <c r="O5" s="1">
        <f t="shared" si="2"/>
        <v>0.22523778480841486</v>
      </c>
      <c r="P5" s="1">
        <f t="shared" si="0"/>
        <v>0.26574726555096584</v>
      </c>
      <c r="Q5" s="1">
        <f t="shared" si="0"/>
        <v>8.0659520103991592E-2</v>
      </c>
      <c r="R5" s="1">
        <f t="shared" si="0"/>
        <v>0</v>
      </c>
      <c r="S5" s="1">
        <f t="shared" si="0"/>
        <v>0.63420553258884982</v>
      </c>
      <c r="T5" s="1">
        <f t="shared" si="0"/>
        <v>0.28017269717180521</v>
      </c>
      <c r="U5" s="1">
        <f t="shared" si="0"/>
        <v>0.29102656516581743</v>
      </c>
      <c r="V5" s="1">
        <f t="shared" si="0"/>
        <v>0.15351399108100161</v>
      </c>
      <c r="W5" s="1">
        <f t="shared" si="1"/>
        <v>0.72156858631530141</v>
      </c>
      <c r="X5" s="1">
        <f t="shared" si="1"/>
        <v>0.18351399615563407</v>
      </c>
    </row>
    <row r="6" spans="1:24" x14ac:dyDescent="0.3">
      <c r="A6" t="s">
        <v>14</v>
      </c>
      <c r="B6">
        <v>40.345173193332556</v>
      </c>
      <c r="C6">
        <v>42.403690877092288</v>
      </c>
      <c r="D6">
        <v>34.747864682595967</v>
      </c>
      <c r="E6">
        <v>30.856054511230042</v>
      </c>
      <c r="F6" s="1">
        <v>0</v>
      </c>
      <c r="G6">
        <v>44.437661954697845</v>
      </c>
      <c r="H6">
        <v>36.970788468735691</v>
      </c>
      <c r="I6">
        <v>34.549484800789728</v>
      </c>
      <c r="J6">
        <v>6.1004999795098769</v>
      </c>
      <c r="K6">
        <v>38.034322657305204</v>
      </c>
      <c r="O6" s="1">
        <f t="shared" si="2"/>
        <v>0.8292418605610915</v>
      </c>
      <c r="P6" s="1">
        <f t="shared" si="0"/>
        <v>0.87155197845050802</v>
      </c>
      <c r="Q6" s="1">
        <f t="shared" si="0"/>
        <v>0.7141965613047061</v>
      </c>
      <c r="R6" s="1">
        <f t="shared" si="0"/>
        <v>0.63420553258884982</v>
      </c>
      <c r="S6" s="1">
        <f t="shared" si="0"/>
        <v>0</v>
      </c>
      <c r="T6" s="1">
        <f t="shared" si="0"/>
        <v>0.91335757320254185</v>
      </c>
      <c r="U6" s="1">
        <f t="shared" si="0"/>
        <v>0.75988582994338039</v>
      </c>
      <c r="V6" s="1">
        <f t="shared" si="0"/>
        <v>0.71011912429635338</v>
      </c>
      <c r="W6" s="1">
        <f t="shared" si="1"/>
        <v>0.12538773669703038</v>
      </c>
      <c r="X6" s="1">
        <f t="shared" si="1"/>
        <v>0.78174537346482098</v>
      </c>
    </row>
    <row r="7" spans="1:24" x14ac:dyDescent="0.3">
      <c r="A7" t="s">
        <v>15</v>
      </c>
      <c r="B7">
        <v>6.5762983508961934</v>
      </c>
      <c r="C7">
        <v>8.4626296149601163</v>
      </c>
      <c r="D7">
        <v>9.7175562771717452</v>
      </c>
      <c r="E7">
        <v>13.631265531857267</v>
      </c>
      <c r="F7">
        <v>44.437661954697845</v>
      </c>
      <c r="G7" s="1">
        <v>0</v>
      </c>
      <c r="H7">
        <v>17.893096434099942</v>
      </c>
      <c r="I7">
        <v>13.211487425721602</v>
      </c>
      <c r="J7">
        <v>48.653083149991637</v>
      </c>
      <c r="K7">
        <v>9.8880584545197738</v>
      </c>
      <c r="O7" s="1">
        <f t="shared" si="2"/>
        <v>0.13516714512464198</v>
      </c>
      <c r="P7" s="1">
        <f t="shared" si="0"/>
        <v>0.173938198096734</v>
      </c>
      <c r="Q7" s="1">
        <f t="shared" si="0"/>
        <v>0.1997315616610294</v>
      </c>
      <c r="R7" s="1">
        <f t="shared" si="0"/>
        <v>0.28017269717180521</v>
      </c>
      <c r="S7" s="1">
        <f t="shared" si="0"/>
        <v>0.91335757320254185</v>
      </c>
      <c r="T7" s="1">
        <f t="shared" si="0"/>
        <v>0</v>
      </c>
      <c r="U7" s="1">
        <f t="shared" si="0"/>
        <v>0.36776901432819098</v>
      </c>
      <c r="V7" s="1">
        <f t="shared" si="0"/>
        <v>0.27154471146241987</v>
      </c>
      <c r="W7" s="1">
        <f t="shared" si="1"/>
        <v>1</v>
      </c>
      <c r="X7" s="1">
        <f t="shared" si="1"/>
        <v>0.20323600919670542</v>
      </c>
    </row>
    <row r="8" spans="1:24" x14ac:dyDescent="0.3">
      <c r="A8" t="s">
        <v>16</v>
      </c>
      <c r="B8">
        <v>21.173705391357458</v>
      </c>
      <c r="C8">
        <v>10.089618426878193</v>
      </c>
      <c r="D8">
        <v>14.070184789120574</v>
      </c>
      <c r="E8">
        <v>14.159339673868976</v>
      </c>
      <c r="F8">
        <v>36.970788468735691</v>
      </c>
      <c r="G8">
        <v>17.893096434099942</v>
      </c>
      <c r="H8" s="1">
        <v>0</v>
      </c>
      <c r="I8">
        <v>6.8789025287468633</v>
      </c>
      <c r="J8">
        <v>39.44393996547506</v>
      </c>
      <c r="K8">
        <v>8.355608894628805</v>
      </c>
      <c r="O8" s="1">
        <f t="shared" si="2"/>
        <v>0.43519760764351678</v>
      </c>
      <c r="P8" s="1">
        <f t="shared" si="0"/>
        <v>0.20737880877503911</v>
      </c>
      <c r="Q8" s="1">
        <f t="shared" si="0"/>
        <v>0.28919410401482426</v>
      </c>
      <c r="R8" s="1">
        <f t="shared" si="0"/>
        <v>0.29102656516581743</v>
      </c>
      <c r="S8" s="1">
        <f t="shared" si="0"/>
        <v>0.75988582994338039</v>
      </c>
      <c r="T8" s="1">
        <f t="shared" si="0"/>
        <v>0.36776901432819098</v>
      </c>
      <c r="U8" s="1">
        <f t="shared" si="0"/>
        <v>0</v>
      </c>
      <c r="V8" s="1">
        <f t="shared" si="0"/>
        <v>0.14138677517188436</v>
      </c>
      <c r="W8" s="1">
        <f t="shared" si="1"/>
        <v>0.81071819937647338</v>
      </c>
      <c r="X8" s="1">
        <f t="shared" si="1"/>
        <v>0.17173852824227936</v>
      </c>
    </row>
    <row r="9" spans="1:24" x14ac:dyDescent="0.3">
      <c r="A9" t="s">
        <v>17</v>
      </c>
      <c r="B9">
        <v>14.262187770464951</v>
      </c>
      <c r="C9">
        <v>7.9816351708155642</v>
      </c>
      <c r="D9">
        <v>7.41</v>
      </c>
      <c r="E9">
        <v>7.4689289727510459</v>
      </c>
      <c r="F9">
        <v>34.549484800789728</v>
      </c>
      <c r="G9">
        <v>13.211487425721602</v>
      </c>
      <c r="H9">
        <v>6.8789025287468633</v>
      </c>
      <c r="I9" s="1">
        <v>0</v>
      </c>
      <c r="J9">
        <v>37.719715004225577</v>
      </c>
      <c r="K9">
        <v>3.7858288392371886</v>
      </c>
      <c r="O9" s="1">
        <f t="shared" si="2"/>
        <v>0.29314047223885753</v>
      </c>
      <c r="P9" s="1">
        <f t="shared" si="0"/>
        <v>0.16405199124193501</v>
      </c>
      <c r="Q9" s="1">
        <f t="shared" si="0"/>
        <v>0.15230278371374442</v>
      </c>
      <c r="R9" s="1">
        <f t="shared" si="0"/>
        <v>0.15351399108100161</v>
      </c>
      <c r="S9" s="1">
        <f t="shared" si="0"/>
        <v>0.71011912429635338</v>
      </c>
      <c r="T9" s="1">
        <f t="shared" si="0"/>
        <v>0.27154471146241987</v>
      </c>
      <c r="U9" s="1">
        <f t="shared" si="0"/>
        <v>0.14138677517188436</v>
      </c>
      <c r="V9" s="1">
        <f t="shared" si="0"/>
        <v>0</v>
      </c>
      <c r="W9" s="1">
        <f t="shared" si="1"/>
        <v>0.77527902780467595</v>
      </c>
      <c r="X9" s="1">
        <f t="shared" si="1"/>
        <v>7.7812722116005081E-2</v>
      </c>
    </row>
    <row r="10" spans="1:24" x14ac:dyDescent="0.3">
      <c r="A10" t="s">
        <v>18</v>
      </c>
      <c r="B10">
        <v>44.961491300889925</v>
      </c>
      <c r="C10">
        <v>45.720699907153652</v>
      </c>
      <c r="D10">
        <v>38.870097761647067</v>
      </c>
      <c r="E10">
        <v>35.106536428420277</v>
      </c>
      <c r="F10">
        <v>6.1004999795098769</v>
      </c>
      <c r="G10">
        <v>48.653083149991637</v>
      </c>
      <c r="H10">
        <v>39.44393996547506</v>
      </c>
      <c r="I10">
        <v>37.719715004225577</v>
      </c>
      <c r="J10" s="1">
        <v>0</v>
      </c>
      <c r="K10">
        <v>41.38042532405872</v>
      </c>
      <c r="O10" s="1">
        <f t="shared" si="2"/>
        <v>0.92412419501306886</v>
      </c>
      <c r="P10" s="1">
        <f t="shared" si="0"/>
        <v>0.93972872728748147</v>
      </c>
      <c r="Q10" s="1">
        <f t="shared" si="0"/>
        <v>0.79892362919355397</v>
      </c>
      <c r="R10" s="1">
        <f t="shared" si="0"/>
        <v>0.72156858631530141</v>
      </c>
      <c r="S10" s="1">
        <f t="shared" si="0"/>
        <v>0.12538773669703038</v>
      </c>
      <c r="T10" s="1">
        <f t="shared" si="0"/>
        <v>1</v>
      </c>
      <c r="U10" s="1">
        <f t="shared" si="0"/>
        <v>0.81071819937647338</v>
      </c>
      <c r="V10" s="1">
        <f t="shared" si="0"/>
        <v>0.77527902780467595</v>
      </c>
      <c r="W10" s="1">
        <f t="shared" si="1"/>
        <v>0</v>
      </c>
      <c r="X10" s="1">
        <f t="shared" si="1"/>
        <v>0.85052010365895658</v>
      </c>
    </row>
    <row r="11" spans="1:24" x14ac:dyDescent="0.3">
      <c r="A11" t="s">
        <v>19</v>
      </c>
      <c r="B11">
        <v>12.302881776234379</v>
      </c>
      <c r="C11">
        <v>4.4089000895915076</v>
      </c>
      <c r="D11">
        <v>6.9989499212381849</v>
      </c>
      <c r="E11">
        <v>8.9285217141473101</v>
      </c>
      <c r="F11">
        <v>38.034322657305204</v>
      </c>
      <c r="G11">
        <v>9.8880584545197738</v>
      </c>
      <c r="H11">
        <v>8.355608894628805</v>
      </c>
      <c r="I11">
        <v>3.7858288392371886</v>
      </c>
      <c r="J11">
        <v>41.38042532405872</v>
      </c>
      <c r="K11" s="1">
        <v>0</v>
      </c>
      <c r="L11" s="1"/>
      <c r="O11" s="1">
        <f t="shared" si="2"/>
        <v>0.25286951986796119</v>
      </c>
      <c r="P11" s="1">
        <f t="shared" si="0"/>
        <v>9.0619130467012657E-2</v>
      </c>
      <c r="Q11" s="1">
        <f t="shared" si="0"/>
        <v>0.1438541911035989</v>
      </c>
      <c r="R11" s="1">
        <f t="shared" si="0"/>
        <v>0.18351399615563407</v>
      </c>
      <c r="S11" s="1">
        <f t="shared" si="0"/>
        <v>0.78174537346482098</v>
      </c>
      <c r="T11" s="1">
        <f t="shared" si="0"/>
        <v>0.20323600919670542</v>
      </c>
      <c r="U11" s="1">
        <f t="shared" si="0"/>
        <v>0.17173852824227936</v>
      </c>
      <c r="V11" s="1">
        <f t="shared" si="0"/>
        <v>7.7812722116005081E-2</v>
      </c>
      <c r="W11" s="1">
        <f t="shared" si="1"/>
        <v>0.85052010365895658</v>
      </c>
      <c r="X11" s="1">
        <f t="shared" si="1"/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F59B4-308E-44FA-9646-0E3AE7950A2D}">
  <sheetPr>
    <tabColor rgb="FFC00000"/>
  </sheetPr>
  <dimension ref="A1:J11"/>
  <sheetViews>
    <sheetView workbookViewId="0">
      <selection activeCell="H2" sqref="H2"/>
    </sheetView>
  </sheetViews>
  <sheetFormatPr defaultRowHeight="14.4" x14ac:dyDescent="0.3"/>
  <sheetData>
    <row r="1" spans="1:10" x14ac:dyDescent="0.3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</row>
    <row r="2" spans="1:10" x14ac:dyDescent="0.3">
      <c r="A2">
        <v>0</v>
      </c>
      <c r="B2">
        <v>0.26796870313859311</v>
      </c>
      <c r="C2">
        <v>0.15350284551590304</v>
      </c>
      <c r="D2">
        <v>0.22523778480841486</v>
      </c>
      <c r="E2">
        <v>0.8292418605610915</v>
      </c>
      <c r="F2">
        <v>0.13516714512464198</v>
      </c>
      <c r="G2">
        <v>0.43519760764351678</v>
      </c>
      <c r="H2">
        <v>0.29314047223885753</v>
      </c>
      <c r="I2">
        <v>0.92412419501306886</v>
      </c>
      <c r="J2">
        <v>0.25286951986796119</v>
      </c>
    </row>
    <row r="3" spans="1:10" x14ac:dyDescent="0.3">
      <c r="A3">
        <v>0.26796870313859311</v>
      </c>
      <c r="B3">
        <v>0</v>
      </c>
      <c r="C3">
        <v>0.21084992463699939</v>
      </c>
      <c r="D3">
        <v>0.26574726555096584</v>
      </c>
      <c r="E3">
        <v>0.87155197845050802</v>
      </c>
      <c r="F3">
        <v>0.173938198096734</v>
      </c>
      <c r="G3">
        <v>0.20737880877503911</v>
      </c>
      <c r="H3">
        <v>0.16405199124193501</v>
      </c>
      <c r="I3">
        <v>0.93972872728748147</v>
      </c>
      <c r="J3">
        <v>9.0619130467012657E-2</v>
      </c>
    </row>
    <row r="4" spans="1:10" x14ac:dyDescent="0.3">
      <c r="A4">
        <v>0.15350284551590304</v>
      </c>
      <c r="B4">
        <v>0.21084992463699939</v>
      </c>
      <c r="C4">
        <v>0</v>
      </c>
      <c r="D4">
        <v>8.0659520103991592E-2</v>
      </c>
      <c r="E4">
        <v>0.7141965613047061</v>
      </c>
      <c r="F4">
        <v>0.1997315616610294</v>
      </c>
      <c r="G4">
        <v>0.28919410401482426</v>
      </c>
      <c r="H4">
        <v>0.15230278371374442</v>
      </c>
      <c r="I4">
        <v>0.79892362919355397</v>
      </c>
      <c r="J4">
        <v>0.1438541911035989</v>
      </c>
    </row>
    <row r="5" spans="1:10" x14ac:dyDescent="0.3">
      <c r="A5">
        <v>0.22523778480841486</v>
      </c>
      <c r="B5">
        <v>0.26574726555096584</v>
      </c>
      <c r="C5">
        <v>8.0659520103991592E-2</v>
      </c>
      <c r="D5">
        <v>0</v>
      </c>
      <c r="E5">
        <v>0.63420553258884982</v>
      </c>
      <c r="F5">
        <v>0.28017269717180521</v>
      </c>
      <c r="G5">
        <v>0.29102656516581743</v>
      </c>
      <c r="H5">
        <v>0.15351399108100161</v>
      </c>
      <c r="I5">
        <v>0.72156858631530141</v>
      </c>
      <c r="J5">
        <v>0.18351399615563407</v>
      </c>
    </row>
    <row r="6" spans="1:10" x14ac:dyDescent="0.3">
      <c r="A6">
        <v>0.8292418605610915</v>
      </c>
      <c r="B6">
        <v>0.87155197845050802</v>
      </c>
      <c r="C6">
        <v>0.7141965613047061</v>
      </c>
      <c r="D6">
        <v>0.63420553258884982</v>
      </c>
      <c r="E6">
        <v>0</v>
      </c>
      <c r="F6">
        <v>0.91335757320254185</v>
      </c>
      <c r="G6">
        <v>0.75988582994338039</v>
      </c>
      <c r="H6">
        <v>0.71011912429635338</v>
      </c>
      <c r="I6">
        <v>0.12538773669703038</v>
      </c>
      <c r="J6">
        <v>0.78174537346482098</v>
      </c>
    </row>
    <row r="7" spans="1:10" x14ac:dyDescent="0.3">
      <c r="A7">
        <v>0.13516714512464198</v>
      </c>
      <c r="B7">
        <v>0.173938198096734</v>
      </c>
      <c r="C7">
        <v>0.1997315616610294</v>
      </c>
      <c r="D7">
        <v>0.28017269717180521</v>
      </c>
      <c r="E7">
        <v>0.91335757320254185</v>
      </c>
      <c r="F7">
        <v>0</v>
      </c>
      <c r="G7">
        <v>0.36776901432819098</v>
      </c>
      <c r="H7">
        <v>0.27154471146241987</v>
      </c>
      <c r="I7">
        <v>1</v>
      </c>
      <c r="J7">
        <v>0.20323600919670542</v>
      </c>
    </row>
    <row r="8" spans="1:10" x14ac:dyDescent="0.3">
      <c r="A8">
        <v>0.43519760764351678</v>
      </c>
      <c r="B8">
        <v>0.20737880877503911</v>
      </c>
      <c r="C8">
        <v>0.28919410401482426</v>
      </c>
      <c r="D8">
        <v>0.29102656516581743</v>
      </c>
      <c r="E8">
        <v>0.75988582994338039</v>
      </c>
      <c r="F8">
        <v>0.36776901432819098</v>
      </c>
      <c r="G8">
        <v>0</v>
      </c>
      <c r="H8">
        <v>0.14138677517188436</v>
      </c>
      <c r="I8">
        <v>0.81071819937647338</v>
      </c>
      <c r="J8">
        <v>0.17173852824227936</v>
      </c>
    </row>
    <row r="9" spans="1:10" x14ac:dyDescent="0.3">
      <c r="A9">
        <v>0.29314047223885753</v>
      </c>
      <c r="B9">
        <v>0.16405199124193501</v>
      </c>
      <c r="C9">
        <v>0.15230278371374442</v>
      </c>
      <c r="D9">
        <v>0.15351399108100161</v>
      </c>
      <c r="E9">
        <v>0.71011912429635338</v>
      </c>
      <c r="F9">
        <v>0.27154471146241987</v>
      </c>
      <c r="G9">
        <v>0.14138677517188436</v>
      </c>
      <c r="H9">
        <v>0</v>
      </c>
      <c r="I9">
        <v>0.77527902780467595</v>
      </c>
      <c r="J9">
        <v>7.7812722116005081E-2</v>
      </c>
    </row>
    <row r="10" spans="1:10" x14ac:dyDescent="0.3">
      <c r="A10">
        <v>0.92412419501306886</v>
      </c>
      <c r="B10">
        <v>0.93972872728748147</v>
      </c>
      <c r="C10">
        <v>0.79892362919355397</v>
      </c>
      <c r="D10">
        <v>0.72156858631530141</v>
      </c>
      <c r="E10">
        <v>0.12538773669703038</v>
      </c>
      <c r="F10">
        <v>1</v>
      </c>
      <c r="G10">
        <v>0.81071819937647338</v>
      </c>
      <c r="H10">
        <v>0.77527902780467595</v>
      </c>
      <c r="I10">
        <v>0</v>
      </c>
      <c r="J10">
        <v>0.85052010365895658</v>
      </c>
    </row>
    <row r="11" spans="1:10" x14ac:dyDescent="0.3">
      <c r="A11">
        <v>0.25286951986796119</v>
      </c>
      <c r="B11">
        <v>9.0619130467012657E-2</v>
      </c>
      <c r="C11">
        <v>0.1438541911035989</v>
      </c>
      <c r="D11">
        <v>0.18351399615563407</v>
      </c>
      <c r="E11">
        <v>0.78174537346482098</v>
      </c>
      <c r="F11">
        <v>0.20323600919670542</v>
      </c>
      <c r="G11">
        <v>0.17173852824227936</v>
      </c>
      <c r="H11">
        <v>7.7812722116005081E-2</v>
      </c>
      <c r="I11">
        <v>0.85052010365895658</v>
      </c>
      <c r="J1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E1C8A-6592-4576-8E3C-9055C8D21165}">
  <sheetPr>
    <tabColor rgb="FF7030A0"/>
  </sheetPr>
  <dimension ref="A1:X11"/>
  <sheetViews>
    <sheetView workbookViewId="0">
      <selection activeCell="H2" sqref="H2"/>
    </sheetView>
  </sheetViews>
  <sheetFormatPr defaultRowHeight="14.4" x14ac:dyDescent="0.3"/>
  <sheetData>
    <row r="1" spans="1:24" x14ac:dyDescent="0.3"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</row>
    <row r="2" spans="1:24" x14ac:dyDescent="0.3">
      <c r="A2" t="s">
        <v>10</v>
      </c>
      <c r="B2">
        <f>IF('PVL3_mtx_c '!B2=0,0,'PVL3_mtx_c '!B2-3.28)</f>
        <v>0</v>
      </c>
      <c r="C2">
        <f>IF('PVL3_mtx_c '!C2=0,0,'PVL3_mtx_c '!C2-3.28)</f>
        <v>9.757503595397397</v>
      </c>
      <c r="D2">
        <f>IF('PVL3_mtx_c '!D2=0,0,'PVL3_mtx_c '!D2-3.28)</f>
        <v>4.1883867066455522</v>
      </c>
      <c r="E2">
        <f>IF('PVL3_mtx_c '!E2=0,0,'PVL3_mtx_c '!E2-3.28)</f>
        <v>7.6785126728037323</v>
      </c>
      <c r="F2">
        <f>IF('PVL3_mtx_c '!F2=0,0,'PVL3_mtx_c '!F2-3.28)</f>
        <v>37.065173193332555</v>
      </c>
      <c r="G2">
        <f>IF('PVL3_mtx_c '!G2=0,0,'PVL3_mtx_c '!G2-3.28)</f>
        <v>3.2962983508961936</v>
      </c>
      <c r="H2">
        <f>IF('PVL3_mtx_c '!H2=0,0,'PVL3_mtx_c '!H2-3.28)</f>
        <v>17.893705391357457</v>
      </c>
      <c r="I2">
        <f>IF('PVL3_mtx_c '!I2=0,0,'PVL3_mtx_c '!I2-3.28)</f>
        <v>10.982187770464952</v>
      </c>
      <c r="J2">
        <f>IF('PVL3_mtx_c '!J2=0,0,'PVL3_mtx_c '!J2-3.28)</f>
        <v>41.681491300889924</v>
      </c>
      <c r="K2">
        <f>IF('PVL3_mtx_c '!K2=0,0,'PVL3_mtx_c '!K2-3.28)</f>
        <v>9.0228817762343798</v>
      </c>
      <c r="M2">
        <v>0</v>
      </c>
      <c r="O2" s="1">
        <f>B2/$M$3</f>
        <v>0</v>
      </c>
      <c r="P2" s="1">
        <f t="shared" ref="P2:V11" si="0">C2/$M$3</f>
        <v>0.21505048627931284</v>
      </c>
      <c r="Q2" s="1">
        <f t="shared" si="0"/>
        <v>9.2309942720882179E-2</v>
      </c>
      <c r="R2" s="1">
        <f t="shared" si="0"/>
        <v>0.16923056886878421</v>
      </c>
      <c r="S2" s="1">
        <f t="shared" si="0"/>
        <v>0.81689783061038002</v>
      </c>
      <c r="T2" s="1">
        <f t="shared" si="0"/>
        <v>7.2648762703638334E-2</v>
      </c>
      <c r="U2" s="1">
        <f t="shared" si="0"/>
        <v>0.39436829391129341</v>
      </c>
      <c r="V2" s="1">
        <f>I2/$M$3</f>
        <v>0.2420419113720064</v>
      </c>
      <c r="W2" s="1">
        <f t="shared" ref="W2:X11" si="1">J2/$M$3</f>
        <v>0.91863916681839164</v>
      </c>
      <c r="X2" s="1">
        <f>K2/$M$3</f>
        <v>0.19885978976581942</v>
      </c>
    </row>
    <row r="3" spans="1:24" x14ac:dyDescent="0.3">
      <c r="A3" t="s">
        <v>11</v>
      </c>
      <c r="B3">
        <f>IF('PVL3_mtx_c '!B3=0,0,'PVL3_mtx_c '!B3-3.28)</f>
        <v>9.757503595397397</v>
      </c>
      <c r="C3">
        <f>IF('PVL3_mtx_c '!C3=0,0,'PVL3_mtx_c '!C3-3.28)</f>
        <v>0</v>
      </c>
      <c r="D3">
        <f>IF('PVL3_mtx_c '!D3=0,0,'PVL3_mtx_c '!D3-3.28)</f>
        <v>6.9784989155334021</v>
      </c>
      <c r="E3">
        <f>IF('PVL3_mtx_c '!E3=0,0,'PVL3_mtx_c '!E3-3.28)</f>
        <v>9.6494238077340491</v>
      </c>
      <c r="F3">
        <f>IF('PVL3_mtx_c '!F3=0,0,'PVL3_mtx_c '!F3-3.28)</f>
        <v>39.123690877092287</v>
      </c>
      <c r="G3">
        <f>IF('PVL3_mtx_c '!G3=0,0,'PVL3_mtx_c '!G3-3.28)</f>
        <v>5.182629614960117</v>
      </c>
      <c r="H3">
        <f>IF('PVL3_mtx_c '!H3=0,0,'PVL3_mtx_c '!H3-3.28)</f>
        <v>6.8096184268781936</v>
      </c>
      <c r="I3">
        <f>IF('PVL3_mtx_c '!I3=0,0,'PVL3_mtx_c '!I3-3.28)</f>
        <v>4.7016351708155639</v>
      </c>
      <c r="J3">
        <f>IF('PVL3_mtx_c '!J3=0,0,'PVL3_mtx_c '!J3-3.28)</f>
        <v>42.44069990715365</v>
      </c>
      <c r="K3">
        <f>IF('PVL3_mtx_c '!K3=0,0,'PVL3_mtx_c '!K3-3.28)</f>
        <v>1.1289000895915078</v>
      </c>
      <c r="M3">
        <f>MAX(B2:K11)</f>
        <v>45.373083149991636</v>
      </c>
      <c r="O3" s="1">
        <f t="shared" ref="O3:O11" si="2">B3/$M$3</f>
        <v>0.21505048627931284</v>
      </c>
      <c r="P3" s="1">
        <f t="shared" si="0"/>
        <v>0</v>
      </c>
      <c r="Q3" s="1">
        <f t="shared" si="0"/>
        <v>0.15380261668496928</v>
      </c>
      <c r="R3" s="1">
        <f t="shared" si="0"/>
        <v>0.21266846195652075</v>
      </c>
      <c r="S3" s="1">
        <f t="shared" si="0"/>
        <v>0.86226652810344673</v>
      </c>
      <c r="T3" s="1">
        <f t="shared" si="0"/>
        <v>0.11422255785060249</v>
      </c>
      <c r="U3" s="1">
        <f t="shared" si="0"/>
        <v>0.15008057540122108</v>
      </c>
      <c r="V3" s="1">
        <f t="shared" si="0"/>
        <v>0.10362168149942948</v>
      </c>
      <c r="W3" s="1">
        <f t="shared" si="1"/>
        <v>0.93537174379038146</v>
      </c>
      <c r="X3" s="1">
        <f t="shared" si="1"/>
        <v>2.4880391880350232E-2</v>
      </c>
    </row>
    <row r="4" spans="1:24" x14ac:dyDescent="0.3">
      <c r="A4" t="s">
        <v>12</v>
      </c>
      <c r="B4">
        <f>IF('PVL3_mtx_c '!B4=0,0,'PVL3_mtx_c '!B4-3.28)</f>
        <v>4.1883867066455522</v>
      </c>
      <c r="C4">
        <f>IF('PVL3_mtx_c '!C4=0,0,'PVL3_mtx_c '!C4-3.28)</f>
        <v>6.9784989155334021</v>
      </c>
      <c r="D4">
        <f>IF('PVL3_mtx_c '!D4=0,0,'PVL3_mtx_c '!D4-3.28)</f>
        <v>0</v>
      </c>
      <c r="E4">
        <f>IF('PVL3_mtx_c '!E4=0,0,'PVL3_mtx_c '!E4-3.28)</f>
        <v>0.64433433845792498</v>
      </c>
      <c r="F4">
        <f>IF('PVL3_mtx_c '!F4=0,0,'PVL3_mtx_c '!F4-3.28)</f>
        <v>31.467864682595966</v>
      </c>
      <c r="G4">
        <f>IF('PVL3_mtx_c '!G4=0,0,'PVL3_mtx_c '!G4-3.28)</f>
        <v>6.4375562771717458</v>
      </c>
      <c r="H4">
        <f>IF('PVL3_mtx_c '!H4=0,0,'PVL3_mtx_c '!H4-3.28)</f>
        <v>10.790184789120575</v>
      </c>
      <c r="I4">
        <f>IF('PVL3_mtx_c '!I4=0,0,'PVL3_mtx_c '!I4-3.28)</f>
        <v>4.1300000000000008</v>
      </c>
      <c r="J4">
        <f>IF('PVL3_mtx_c '!J4=0,0,'PVL3_mtx_c '!J4-3.28)</f>
        <v>35.590097761647066</v>
      </c>
      <c r="K4">
        <f>IF('PVL3_mtx_c '!K4=0,0,'PVL3_mtx_c '!K4-3.28)</f>
        <v>3.7189499212381851</v>
      </c>
      <c r="O4" s="1">
        <f t="shared" si="2"/>
        <v>9.2309942720882179E-2</v>
      </c>
      <c r="P4" s="1">
        <f t="shared" si="0"/>
        <v>0.15380261668496928</v>
      </c>
      <c r="Q4" s="1">
        <f t="shared" si="0"/>
        <v>0</v>
      </c>
      <c r="R4" s="1">
        <f t="shared" si="0"/>
        <v>1.4200805713993975E-2</v>
      </c>
      <c r="S4" s="1">
        <f t="shared" si="0"/>
        <v>0.69353595784027666</v>
      </c>
      <c r="T4" s="1">
        <f t="shared" si="0"/>
        <v>0.14188051219466077</v>
      </c>
      <c r="U4" s="1">
        <f t="shared" si="0"/>
        <v>0.23781026194431232</v>
      </c>
      <c r="V4" s="1">
        <f t="shared" si="0"/>
        <v>9.1023128984805649E-2</v>
      </c>
      <c r="W4" s="1">
        <f t="shared" si="1"/>
        <v>0.78438790778214118</v>
      </c>
      <c r="X4" s="1">
        <f t="shared" si="1"/>
        <v>8.1963791372614073E-2</v>
      </c>
    </row>
    <row r="5" spans="1:24" x14ac:dyDescent="0.3">
      <c r="A5" t="s">
        <v>13</v>
      </c>
      <c r="B5">
        <f>IF('PVL3_mtx_c '!B5=0,0,'PVL3_mtx_c '!B5-3.28)</f>
        <v>7.6785126728037323</v>
      </c>
      <c r="C5">
        <f>IF('PVL3_mtx_c '!C5=0,0,'PVL3_mtx_c '!C5-3.28)</f>
        <v>9.6494238077340491</v>
      </c>
      <c r="D5">
        <f>IF('PVL3_mtx_c '!D5=0,0,'PVL3_mtx_c '!D5-3.28)</f>
        <v>0.64433433845792498</v>
      </c>
      <c r="E5">
        <f>IF('PVL3_mtx_c '!E5=0,0,'PVL3_mtx_c '!E5-3.28)</f>
        <v>0</v>
      </c>
      <c r="F5">
        <f>IF('PVL3_mtx_c '!F5=0,0,'PVL3_mtx_c '!F5-3.28)</f>
        <v>27.576054511230041</v>
      </c>
      <c r="G5">
        <f>IF('PVL3_mtx_c '!G5=0,0,'PVL3_mtx_c '!G5-3.28)</f>
        <v>10.351265531857267</v>
      </c>
      <c r="H5">
        <f>IF('PVL3_mtx_c '!H5=0,0,'PVL3_mtx_c '!H5-3.28)</f>
        <v>10.879339673868976</v>
      </c>
      <c r="I5">
        <f>IF('PVL3_mtx_c '!I5=0,0,'PVL3_mtx_c '!I5-3.28)</f>
        <v>4.1889289727510466</v>
      </c>
      <c r="J5">
        <f>IF('PVL3_mtx_c '!J5=0,0,'PVL3_mtx_c '!J5-3.28)</f>
        <v>31.826536428420276</v>
      </c>
      <c r="K5">
        <f>IF('PVL3_mtx_c '!K5=0,0,'PVL3_mtx_c '!K5-3.28)</f>
        <v>5.6485217141473107</v>
      </c>
      <c r="O5" s="1">
        <f t="shared" si="2"/>
        <v>0.16923056886878421</v>
      </c>
      <c r="P5" s="1">
        <f t="shared" si="0"/>
        <v>0.21266846195652075</v>
      </c>
      <c r="Q5" s="1">
        <f t="shared" si="0"/>
        <v>1.4200805713993975E-2</v>
      </c>
      <c r="R5" s="1">
        <f t="shared" si="0"/>
        <v>0</v>
      </c>
      <c r="S5" s="1">
        <f t="shared" si="0"/>
        <v>0.60776241323673685</v>
      </c>
      <c r="T5" s="1">
        <f t="shared" si="0"/>
        <v>0.22813670161312755</v>
      </c>
      <c r="U5" s="1">
        <f t="shared" si="0"/>
        <v>0.23977519089687388</v>
      </c>
      <c r="V5" s="1">
        <f t="shared" si="0"/>
        <v>9.2321893993924431E-2</v>
      </c>
      <c r="W5" s="1">
        <f t="shared" si="1"/>
        <v>0.70144090325997921</v>
      </c>
      <c r="X5" s="1">
        <f t="shared" si="1"/>
        <v>0.1244905860920838</v>
      </c>
    </row>
    <row r="6" spans="1:24" x14ac:dyDescent="0.3">
      <c r="A6" t="s">
        <v>14</v>
      </c>
      <c r="B6">
        <f>IF('PVL3_mtx_c '!B6=0,0,'PVL3_mtx_c '!B6-3.28)</f>
        <v>37.065173193332555</v>
      </c>
      <c r="C6">
        <f>IF('PVL3_mtx_c '!C6=0,0,'PVL3_mtx_c '!C6-3.28)</f>
        <v>39.123690877092287</v>
      </c>
      <c r="D6">
        <f>IF('PVL3_mtx_c '!D6=0,0,'PVL3_mtx_c '!D6-3.28)</f>
        <v>31.467864682595966</v>
      </c>
      <c r="E6">
        <f>IF('PVL3_mtx_c '!E6=0,0,'PVL3_mtx_c '!E6-3.28)</f>
        <v>27.576054511230041</v>
      </c>
      <c r="F6">
        <f>IF('PVL3_mtx_c '!F6=0,0,'PVL3_mtx_c '!F6-3.28)</f>
        <v>0</v>
      </c>
      <c r="G6">
        <f>IF('PVL3_mtx_c '!G6=0,0,'PVL3_mtx_c '!G6-3.28)</f>
        <v>41.157661954697843</v>
      </c>
      <c r="H6">
        <f>IF('PVL3_mtx_c '!H6=0,0,'PVL3_mtx_c '!H6-3.28)</f>
        <v>33.69078846873569</v>
      </c>
      <c r="I6">
        <f>IF('PVL3_mtx_c '!I6=0,0,'PVL3_mtx_c '!I6-3.28)</f>
        <v>31.269484800789726</v>
      </c>
      <c r="J6">
        <f>IF('PVL3_mtx_c '!J6=0,0,'PVL3_mtx_c '!J6-3.28)</f>
        <v>2.8204999795098771</v>
      </c>
      <c r="K6">
        <f>IF('PVL3_mtx_c '!K6=0,0,'PVL3_mtx_c '!K6-3.28)</f>
        <v>34.754322657305202</v>
      </c>
      <c r="O6" s="1">
        <f t="shared" si="2"/>
        <v>0.81689783061038002</v>
      </c>
      <c r="P6" s="1">
        <f t="shared" si="0"/>
        <v>0.86226652810344673</v>
      </c>
      <c r="Q6" s="1">
        <f t="shared" si="0"/>
        <v>0.69353595784027666</v>
      </c>
      <c r="R6" s="1">
        <f t="shared" si="0"/>
        <v>0.60776241323673685</v>
      </c>
      <c r="S6" s="1">
        <f t="shared" si="0"/>
        <v>0</v>
      </c>
      <c r="T6" s="1">
        <f t="shared" si="0"/>
        <v>0.90709423070592965</v>
      </c>
      <c r="U6" s="1">
        <f t="shared" si="0"/>
        <v>0.7425280833872957</v>
      </c>
      <c r="V6" s="1">
        <f t="shared" si="0"/>
        <v>0.68916376472414109</v>
      </c>
      <c r="W6" s="1">
        <f t="shared" si="1"/>
        <v>6.2162405190452588E-2</v>
      </c>
      <c r="X6" s="1">
        <f t="shared" si="1"/>
        <v>0.76596784358727465</v>
      </c>
    </row>
    <row r="7" spans="1:24" x14ac:dyDescent="0.3">
      <c r="A7" t="s">
        <v>15</v>
      </c>
      <c r="B7">
        <f>IF('PVL3_mtx_c '!B7=0,0,'PVL3_mtx_c '!B7-3.28)</f>
        <v>3.2962983508961936</v>
      </c>
      <c r="C7">
        <f>IF('PVL3_mtx_c '!C7=0,0,'PVL3_mtx_c '!C7-3.28)</f>
        <v>5.182629614960117</v>
      </c>
      <c r="D7">
        <f>IF('PVL3_mtx_c '!D7=0,0,'PVL3_mtx_c '!D7-3.28)</f>
        <v>6.4375562771717458</v>
      </c>
      <c r="E7">
        <f>IF('PVL3_mtx_c '!E7=0,0,'PVL3_mtx_c '!E7-3.28)</f>
        <v>10.351265531857267</v>
      </c>
      <c r="F7">
        <f>IF('PVL3_mtx_c '!F7=0,0,'PVL3_mtx_c '!F7-3.28)</f>
        <v>41.157661954697843</v>
      </c>
      <c r="G7">
        <f>IF('PVL3_mtx_c '!G7=0,0,'PVL3_mtx_c '!G7-3.28)</f>
        <v>0</v>
      </c>
      <c r="H7">
        <f>IF('PVL3_mtx_c '!H7=0,0,'PVL3_mtx_c '!H7-3.28)</f>
        <v>14.613096434099942</v>
      </c>
      <c r="I7">
        <f>IF('PVL3_mtx_c '!I7=0,0,'PVL3_mtx_c '!I7-3.28)</f>
        <v>9.9314874257216026</v>
      </c>
      <c r="J7">
        <f>IF('PVL3_mtx_c '!J7=0,0,'PVL3_mtx_c '!J7-3.28)</f>
        <v>45.373083149991636</v>
      </c>
      <c r="K7">
        <f>IF('PVL3_mtx_c '!K7=0,0,'PVL3_mtx_c '!K7-3.28)</f>
        <v>6.6080584545197745</v>
      </c>
      <c r="O7" s="1">
        <f t="shared" si="2"/>
        <v>7.2648762703638334E-2</v>
      </c>
      <c r="P7" s="1">
        <f t="shared" si="0"/>
        <v>0.11422255785060249</v>
      </c>
      <c r="Q7" s="1">
        <f t="shared" si="0"/>
        <v>0.14188051219466077</v>
      </c>
      <c r="R7" s="1">
        <f t="shared" si="0"/>
        <v>0.22813670161312755</v>
      </c>
      <c r="S7" s="1">
        <f t="shared" si="0"/>
        <v>0.90709423070592965</v>
      </c>
      <c r="T7" s="1">
        <f t="shared" si="0"/>
        <v>0</v>
      </c>
      <c r="U7" s="1">
        <f t="shared" si="0"/>
        <v>0.32206531757590373</v>
      </c>
      <c r="V7" s="1">
        <f t="shared" si="0"/>
        <v>0.21888500265434208</v>
      </c>
      <c r="W7" s="1">
        <f t="shared" si="1"/>
        <v>1</v>
      </c>
      <c r="X7" s="1">
        <f t="shared" si="1"/>
        <v>0.14563829468399245</v>
      </c>
    </row>
    <row r="8" spans="1:24" x14ac:dyDescent="0.3">
      <c r="A8" t="s">
        <v>16</v>
      </c>
      <c r="B8">
        <f>IF('PVL3_mtx_c '!B8=0,0,'PVL3_mtx_c '!B8-3.28)</f>
        <v>17.893705391357457</v>
      </c>
      <c r="C8">
        <f>IF('PVL3_mtx_c '!C8=0,0,'PVL3_mtx_c '!C8-3.28)</f>
        <v>6.8096184268781936</v>
      </c>
      <c r="D8">
        <f>IF('PVL3_mtx_c '!D8=0,0,'PVL3_mtx_c '!D8-3.28)</f>
        <v>10.790184789120575</v>
      </c>
      <c r="E8">
        <f>IF('PVL3_mtx_c '!E8=0,0,'PVL3_mtx_c '!E8-3.28)</f>
        <v>10.879339673868976</v>
      </c>
      <c r="F8">
        <f>IF('PVL3_mtx_c '!F8=0,0,'PVL3_mtx_c '!F8-3.28)</f>
        <v>33.69078846873569</v>
      </c>
      <c r="G8">
        <f>IF('PVL3_mtx_c '!G8=0,0,'PVL3_mtx_c '!G8-3.28)</f>
        <v>14.613096434099942</v>
      </c>
      <c r="H8">
        <f>IF('PVL3_mtx_c '!H8=0,0,'PVL3_mtx_c '!H8-3.28)</f>
        <v>0</v>
      </c>
      <c r="I8">
        <f>IF('PVL3_mtx_c '!I8=0,0,'PVL3_mtx_c '!I8-3.28)</f>
        <v>3.5989025287468634</v>
      </c>
      <c r="J8">
        <f>IF('PVL3_mtx_c '!J8=0,0,'PVL3_mtx_c '!J8-3.28)</f>
        <v>36.163939965475059</v>
      </c>
      <c r="K8">
        <f>IF('PVL3_mtx_c '!K8=0,0,'PVL3_mtx_c '!K8-3.28)</f>
        <v>5.0756088946288056</v>
      </c>
      <c r="O8" s="1">
        <f t="shared" si="2"/>
        <v>0.39436829391129341</v>
      </c>
      <c r="P8" s="1">
        <f t="shared" si="0"/>
        <v>0.15008057540122108</v>
      </c>
      <c r="Q8" s="1">
        <f t="shared" si="0"/>
        <v>0.23781026194431232</v>
      </c>
      <c r="R8" s="1">
        <f t="shared" si="0"/>
        <v>0.23977519089687388</v>
      </c>
      <c r="S8" s="1">
        <f t="shared" si="0"/>
        <v>0.7425280833872957</v>
      </c>
      <c r="T8" s="1">
        <f t="shared" si="0"/>
        <v>0.32206531757590373</v>
      </c>
      <c r="U8" s="1">
        <f t="shared" si="0"/>
        <v>0</v>
      </c>
      <c r="V8" s="1">
        <f t="shared" si="0"/>
        <v>7.9318007040646232E-2</v>
      </c>
      <c r="W8" s="1">
        <f t="shared" si="1"/>
        <v>0.79703510219762808</v>
      </c>
      <c r="X8" s="1">
        <f t="shared" si="1"/>
        <v>0.11186387484073233</v>
      </c>
    </row>
    <row r="9" spans="1:24" x14ac:dyDescent="0.3">
      <c r="A9" t="s">
        <v>17</v>
      </c>
      <c r="B9">
        <f>IF('PVL3_mtx_c '!B9=0,0,'PVL3_mtx_c '!B9-3.28)</f>
        <v>10.982187770464952</v>
      </c>
      <c r="C9">
        <f>IF('PVL3_mtx_c '!C9=0,0,'PVL3_mtx_c '!C9-3.28)</f>
        <v>4.7016351708155639</v>
      </c>
      <c r="D9">
        <f>IF('PVL3_mtx_c '!D9=0,0,'PVL3_mtx_c '!D9-3.28)</f>
        <v>4.1300000000000008</v>
      </c>
      <c r="E9">
        <f>IF('PVL3_mtx_c '!E9=0,0,'PVL3_mtx_c '!E9-3.28)</f>
        <v>4.1889289727510466</v>
      </c>
      <c r="F9">
        <f>IF('PVL3_mtx_c '!F9=0,0,'PVL3_mtx_c '!F9-3.28)</f>
        <v>31.269484800789726</v>
      </c>
      <c r="G9">
        <f>IF('PVL3_mtx_c '!G9=0,0,'PVL3_mtx_c '!G9-3.28)</f>
        <v>9.9314874257216026</v>
      </c>
      <c r="H9">
        <f>IF('PVL3_mtx_c '!H9=0,0,'PVL3_mtx_c '!H9-3.28)</f>
        <v>3.5989025287468634</v>
      </c>
      <c r="I9">
        <f>IF('PVL3_mtx_c '!I9=0,0,'PVL3_mtx_c '!I9-3.28)</f>
        <v>0</v>
      </c>
      <c r="J9">
        <f>IF('PVL3_mtx_c '!J9=0,0,'PVL3_mtx_c '!J9-3.28)</f>
        <v>34.439715004225576</v>
      </c>
      <c r="K9">
        <f>IF('PVL3_mtx_c '!K9=0,0,'PVL3_mtx_c '!K9-3.28)</f>
        <v>0.5058288392371888</v>
      </c>
      <c r="O9" s="1">
        <f t="shared" si="2"/>
        <v>0.2420419113720064</v>
      </c>
      <c r="P9" s="1">
        <f t="shared" si="0"/>
        <v>0.10362168149942948</v>
      </c>
      <c r="Q9" s="1">
        <f t="shared" si="0"/>
        <v>9.1023128984805649E-2</v>
      </c>
      <c r="R9" s="1">
        <f t="shared" si="0"/>
        <v>9.2321893993924431E-2</v>
      </c>
      <c r="S9" s="1">
        <f t="shared" si="0"/>
        <v>0.68916376472414109</v>
      </c>
      <c r="T9" s="1">
        <f t="shared" si="0"/>
        <v>0.21888500265434208</v>
      </c>
      <c r="U9" s="1">
        <f t="shared" si="0"/>
        <v>7.9318007040646232E-2</v>
      </c>
      <c r="V9" s="1">
        <f t="shared" si="0"/>
        <v>0</v>
      </c>
      <c r="W9" s="1">
        <f t="shared" si="1"/>
        <v>0.75903404867544089</v>
      </c>
      <c r="X9" s="1">
        <f t="shared" si="1"/>
        <v>1.1148213965646768E-2</v>
      </c>
    </row>
    <row r="10" spans="1:24" x14ac:dyDescent="0.3">
      <c r="A10" t="s">
        <v>18</v>
      </c>
      <c r="B10">
        <f>IF('PVL3_mtx_c '!B10=0,0,'PVL3_mtx_c '!B10-3.28)</f>
        <v>41.681491300889924</v>
      </c>
      <c r="C10">
        <f>IF('PVL3_mtx_c '!C10=0,0,'PVL3_mtx_c '!C10-3.28)</f>
        <v>42.44069990715365</v>
      </c>
      <c r="D10">
        <f>IF('PVL3_mtx_c '!D10=0,0,'PVL3_mtx_c '!D10-3.28)</f>
        <v>35.590097761647066</v>
      </c>
      <c r="E10">
        <f>IF('PVL3_mtx_c '!E10=0,0,'PVL3_mtx_c '!E10-3.28)</f>
        <v>31.826536428420276</v>
      </c>
      <c r="F10">
        <f>IF('PVL3_mtx_c '!F10=0,0,'PVL3_mtx_c '!F10-3.28)</f>
        <v>2.8204999795098771</v>
      </c>
      <c r="G10">
        <f>IF('PVL3_mtx_c '!G10=0,0,'PVL3_mtx_c '!G10-3.28)</f>
        <v>45.373083149991636</v>
      </c>
      <c r="H10">
        <f>IF('PVL3_mtx_c '!H10=0,0,'PVL3_mtx_c '!H10-3.28)</f>
        <v>36.163939965475059</v>
      </c>
      <c r="I10">
        <f>IF('PVL3_mtx_c '!I10=0,0,'PVL3_mtx_c '!I10-3.28)</f>
        <v>34.439715004225576</v>
      </c>
      <c r="J10">
        <f>IF('PVL3_mtx_c '!J10=0,0,'PVL3_mtx_c '!J10-3.28)</f>
        <v>0</v>
      </c>
      <c r="K10">
        <f>IF('PVL3_mtx_c '!K10=0,0,'PVL3_mtx_c '!K10-3.28)</f>
        <v>38.100425324058719</v>
      </c>
      <c r="O10" s="1">
        <f t="shared" si="2"/>
        <v>0.91863916681839164</v>
      </c>
      <c r="P10" s="1">
        <f t="shared" si="0"/>
        <v>0.93537174379038146</v>
      </c>
      <c r="Q10" s="1">
        <f t="shared" si="0"/>
        <v>0.78438790778214118</v>
      </c>
      <c r="R10" s="1">
        <f t="shared" si="0"/>
        <v>0.70144090325997921</v>
      </c>
      <c r="S10" s="1">
        <f t="shared" si="0"/>
        <v>6.2162405190452588E-2</v>
      </c>
      <c r="T10" s="1">
        <f t="shared" si="0"/>
        <v>1</v>
      </c>
      <c r="U10" s="1">
        <f t="shared" si="0"/>
        <v>0.79703510219762808</v>
      </c>
      <c r="V10" s="1">
        <f t="shared" si="0"/>
        <v>0.75903404867544089</v>
      </c>
      <c r="W10" s="1">
        <f t="shared" si="1"/>
        <v>0</v>
      </c>
      <c r="X10" s="1">
        <f t="shared" si="1"/>
        <v>0.83971426843771235</v>
      </c>
    </row>
    <row r="11" spans="1:24" x14ac:dyDescent="0.3">
      <c r="A11" t="s">
        <v>19</v>
      </c>
      <c r="B11">
        <f>IF('PVL3_mtx_c '!B11=0,0,'PVL3_mtx_c '!B11-3.28)</f>
        <v>9.0228817762343798</v>
      </c>
      <c r="C11">
        <f>IF('PVL3_mtx_c '!C11=0,0,'PVL3_mtx_c '!C11-3.28)</f>
        <v>1.1289000895915078</v>
      </c>
      <c r="D11">
        <f>IF('PVL3_mtx_c '!D11=0,0,'PVL3_mtx_c '!D11-3.28)</f>
        <v>3.7189499212381851</v>
      </c>
      <c r="E11">
        <f>IF('PVL3_mtx_c '!E11=0,0,'PVL3_mtx_c '!E11-3.28)</f>
        <v>5.6485217141473107</v>
      </c>
      <c r="F11">
        <f>IF('PVL3_mtx_c '!F11=0,0,'PVL3_mtx_c '!F11-3.28)</f>
        <v>34.754322657305202</v>
      </c>
      <c r="G11">
        <f>IF('PVL3_mtx_c '!G11=0,0,'PVL3_mtx_c '!G11-3.28)</f>
        <v>6.6080584545197745</v>
      </c>
      <c r="H11">
        <f>IF('PVL3_mtx_c '!H11=0,0,'PVL3_mtx_c '!H11-3.28)</f>
        <v>5.0756088946288056</v>
      </c>
      <c r="I11">
        <f>IF('PVL3_mtx_c '!I11=0,0,'PVL3_mtx_c '!I11-3.28)</f>
        <v>0.5058288392371888</v>
      </c>
      <c r="J11">
        <f>IF('PVL3_mtx_c '!J11=0,0,'PVL3_mtx_c '!J11-3.28)</f>
        <v>38.100425324058719</v>
      </c>
      <c r="K11">
        <f>IF('PVL3_mtx_c '!K11=0,0,'PVL3_mtx_c '!K11-3.28)</f>
        <v>0</v>
      </c>
      <c r="O11" s="1">
        <f t="shared" si="2"/>
        <v>0.19885978976581942</v>
      </c>
      <c r="P11" s="1">
        <f t="shared" si="0"/>
        <v>2.4880391880350232E-2</v>
      </c>
      <c r="Q11" s="1">
        <f t="shared" si="0"/>
        <v>8.1963791372614073E-2</v>
      </c>
      <c r="R11" s="1">
        <f t="shared" si="0"/>
        <v>0.1244905860920838</v>
      </c>
      <c r="S11" s="1">
        <f t="shared" si="0"/>
        <v>0.76596784358727465</v>
      </c>
      <c r="T11" s="1">
        <f t="shared" si="0"/>
        <v>0.14563829468399245</v>
      </c>
      <c r="U11" s="1">
        <f t="shared" si="0"/>
        <v>0.11186387484073233</v>
      </c>
      <c r="V11" s="1">
        <f t="shared" si="0"/>
        <v>1.1148213965646768E-2</v>
      </c>
      <c r="W11" s="1">
        <f t="shared" si="1"/>
        <v>0.83971426843771235</v>
      </c>
      <c r="X11" s="1">
        <f t="shared" si="1"/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6F54F-AB5A-414D-9210-800A75AC39F8}">
  <sheetPr>
    <tabColor rgb="FF7030A0"/>
  </sheetPr>
  <dimension ref="A1:K11"/>
  <sheetViews>
    <sheetView workbookViewId="0">
      <selection activeCell="H2" sqref="H2"/>
    </sheetView>
  </sheetViews>
  <sheetFormatPr defaultRowHeight="14.4" x14ac:dyDescent="0.3"/>
  <cols>
    <col min="1" max="1" width="6.88671875" customWidth="1"/>
  </cols>
  <sheetData>
    <row r="1" spans="1:11" x14ac:dyDescent="0.3"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</row>
    <row r="2" spans="1:11" x14ac:dyDescent="0.3">
      <c r="A2" t="s">
        <v>10</v>
      </c>
      <c r="B2" s="1">
        <v>0</v>
      </c>
      <c r="C2" s="1">
        <v>0.21505048627931284</v>
      </c>
      <c r="D2" s="1">
        <v>9.2309942720882179E-2</v>
      </c>
      <c r="E2" s="1">
        <v>0.16923056886878421</v>
      </c>
      <c r="F2" s="1">
        <v>0.81689783061038002</v>
      </c>
      <c r="G2" s="1">
        <v>7.2648762703638334E-2</v>
      </c>
      <c r="H2" s="1">
        <v>0.39436829391129341</v>
      </c>
      <c r="I2" s="1">
        <v>0.2420419113720064</v>
      </c>
      <c r="J2" s="1">
        <v>0.91863916681839164</v>
      </c>
      <c r="K2" s="1">
        <v>0.19885978976581942</v>
      </c>
    </row>
    <row r="3" spans="1:11" x14ac:dyDescent="0.3">
      <c r="A3" t="s">
        <v>11</v>
      </c>
      <c r="B3" s="1">
        <v>0.21505048627931284</v>
      </c>
      <c r="C3" s="1">
        <v>0</v>
      </c>
      <c r="D3" s="1">
        <v>0.15380261668496928</v>
      </c>
      <c r="E3" s="1">
        <v>0.21266846195652075</v>
      </c>
      <c r="F3" s="1">
        <v>0.86226652810344673</v>
      </c>
      <c r="G3" s="1">
        <v>0.11422255785060249</v>
      </c>
      <c r="H3" s="1">
        <v>0.15008057540122108</v>
      </c>
      <c r="I3" s="1">
        <v>0.10362168149942948</v>
      </c>
      <c r="J3" s="1">
        <v>0.93537174379038146</v>
      </c>
      <c r="K3" s="1">
        <v>2.4880391880350232E-2</v>
      </c>
    </row>
    <row r="4" spans="1:11" x14ac:dyDescent="0.3">
      <c r="A4" t="s">
        <v>12</v>
      </c>
      <c r="B4" s="1">
        <v>9.2309942720882179E-2</v>
      </c>
      <c r="C4" s="1">
        <v>0.15380261668496928</v>
      </c>
      <c r="D4" s="1">
        <v>0</v>
      </c>
      <c r="E4" s="1">
        <v>1.4200805713993975E-2</v>
      </c>
      <c r="F4" s="1">
        <v>0.69353595784027666</v>
      </c>
      <c r="G4" s="1">
        <v>0.14188051219466077</v>
      </c>
      <c r="H4" s="1">
        <v>0.23781026194431232</v>
      </c>
      <c r="I4" s="1">
        <v>9.1023128984805649E-2</v>
      </c>
      <c r="J4" s="1">
        <v>0.78438790778214118</v>
      </c>
      <c r="K4" s="1">
        <v>8.1963791372614073E-2</v>
      </c>
    </row>
    <row r="5" spans="1:11" x14ac:dyDescent="0.3">
      <c r="A5" t="s">
        <v>13</v>
      </c>
      <c r="B5" s="1">
        <v>0.16923056886878421</v>
      </c>
      <c r="C5" s="1">
        <v>0.21266846195652075</v>
      </c>
      <c r="D5" s="1">
        <v>1.4200805713993975E-2</v>
      </c>
      <c r="E5" s="1">
        <v>0</v>
      </c>
      <c r="F5" s="1">
        <v>0.60776241323673685</v>
      </c>
      <c r="G5" s="1">
        <v>0.22813670161312755</v>
      </c>
      <c r="H5" s="1">
        <v>0.23977519089687388</v>
      </c>
      <c r="I5" s="1">
        <v>9.2321893993924431E-2</v>
      </c>
      <c r="J5" s="1">
        <v>0.70144090325997921</v>
      </c>
      <c r="K5" s="1">
        <v>0.1244905860920838</v>
      </c>
    </row>
    <row r="6" spans="1:11" x14ac:dyDescent="0.3">
      <c r="A6" t="s">
        <v>14</v>
      </c>
      <c r="B6" s="1">
        <v>0.81689783061038002</v>
      </c>
      <c r="C6" s="1">
        <v>0.86226652810344673</v>
      </c>
      <c r="D6" s="1">
        <v>0.69353595784027666</v>
      </c>
      <c r="E6" s="1">
        <v>0.60776241323673685</v>
      </c>
      <c r="F6" s="1">
        <v>0</v>
      </c>
      <c r="G6" s="1">
        <v>0.90709423070592965</v>
      </c>
      <c r="H6" s="1">
        <v>0.7425280833872957</v>
      </c>
      <c r="I6" s="1">
        <v>0.68916376472414109</v>
      </c>
      <c r="J6" s="1">
        <v>6.2162405190452588E-2</v>
      </c>
      <c r="K6" s="1">
        <v>0.76596784358727465</v>
      </c>
    </row>
    <row r="7" spans="1:11" x14ac:dyDescent="0.3">
      <c r="A7" t="s">
        <v>15</v>
      </c>
      <c r="B7" s="1">
        <v>7.2648762703638334E-2</v>
      </c>
      <c r="C7" s="1">
        <v>0.11422255785060249</v>
      </c>
      <c r="D7" s="1">
        <v>0.14188051219466077</v>
      </c>
      <c r="E7" s="1">
        <v>0.22813670161312755</v>
      </c>
      <c r="F7" s="1">
        <v>0.90709423070592965</v>
      </c>
      <c r="G7" s="1">
        <v>0</v>
      </c>
      <c r="H7" s="1">
        <v>0.32206531757590373</v>
      </c>
      <c r="I7" s="1">
        <v>0.21888500265434208</v>
      </c>
      <c r="J7" s="1">
        <v>1</v>
      </c>
      <c r="K7" s="1">
        <v>0.14563829468399245</v>
      </c>
    </row>
    <row r="8" spans="1:11" x14ac:dyDescent="0.3">
      <c r="A8" t="s">
        <v>16</v>
      </c>
      <c r="B8" s="1">
        <v>0.39436829391129341</v>
      </c>
      <c r="C8" s="1">
        <v>0.15008057540122108</v>
      </c>
      <c r="D8" s="1">
        <v>0.23781026194431232</v>
      </c>
      <c r="E8" s="1">
        <v>0.23977519089687388</v>
      </c>
      <c r="F8" s="1">
        <v>0.7425280833872957</v>
      </c>
      <c r="G8" s="1">
        <v>0.32206531757590373</v>
      </c>
      <c r="H8" s="1">
        <v>0</v>
      </c>
      <c r="I8" s="1">
        <v>7.9318007040646232E-2</v>
      </c>
      <c r="J8" s="1">
        <v>0.79703510219762808</v>
      </c>
      <c r="K8" s="1">
        <v>0.11186387484073233</v>
      </c>
    </row>
    <row r="9" spans="1:11" x14ac:dyDescent="0.3">
      <c r="A9" t="s">
        <v>17</v>
      </c>
      <c r="B9" s="1">
        <v>0.2420419113720064</v>
      </c>
      <c r="C9" s="1">
        <v>0.10362168149942948</v>
      </c>
      <c r="D9" s="1">
        <v>9.1023128984805649E-2</v>
      </c>
      <c r="E9" s="1">
        <v>9.2321893993924431E-2</v>
      </c>
      <c r="F9" s="1">
        <v>0.68916376472414109</v>
      </c>
      <c r="G9" s="1">
        <v>0.21888500265434208</v>
      </c>
      <c r="H9" s="1">
        <v>7.9318007040646232E-2</v>
      </c>
      <c r="I9" s="1">
        <v>0</v>
      </c>
      <c r="J9" s="1">
        <v>0.75903404867544089</v>
      </c>
      <c r="K9" s="1">
        <v>1.1148213965646768E-2</v>
      </c>
    </row>
    <row r="10" spans="1:11" x14ac:dyDescent="0.3">
      <c r="A10" t="s">
        <v>18</v>
      </c>
      <c r="B10" s="1">
        <v>0.91863916681839164</v>
      </c>
      <c r="C10" s="1">
        <v>0.93537174379038146</v>
      </c>
      <c r="D10" s="1">
        <v>0.78438790778214118</v>
      </c>
      <c r="E10" s="1">
        <v>0.70144090325997921</v>
      </c>
      <c r="F10" s="1">
        <v>6.2162405190452588E-2</v>
      </c>
      <c r="G10" s="1">
        <v>1</v>
      </c>
      <c r="H10" s="1">
        <v>0.79703510219762808</v>
      </c>
      <c r="I10" s="1">
        <v>0.75903404867544089</v>
      </c>
      <c r="J10" s="1">
        <v>0</v>
      </c>
      <c r="K10" s="1">
        <v>0.83971426843771235</v>
      </c>
    </row>
    <row r="11" spans="1:11" x14ac:dyDescent="0.3">
      <c r="A11" t="s">
        <v>19</v>
      </c>
      <c r="B11" s="1">
        <v>0.19885978976581942</v>
      </c>
      <c r="C11" s="1">
        <v>2.4880391880350232E-2</v>
      </c>
      <c r="D11" s="1">
        <v>8.1963791372614073E-2</v>
      </c>
      <c r="E11" s="1">
        <v>0.1244905860920838</v>
      </c>
      <c r="F11" s="1">
        <v>0.76596784358727465</v>
      </c>
      <c r="G11" s="1">
        <v>0.14563829468399245</v>
      </c>
      <c r="H11" s="1">
        <v>0.11186387484073233</v>
      </c>
      <c r="I11" s="1">
        <v>1.1148213965646768E-2</v>
      </c>
      <c r="J11" s="1">
        <v>0.83971426843771235</v>
      </c>
      <c r="K11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D1966-A1AE-4379-AB32-55EB96F1ACD5}">
  <sheetPr>
    <tabColor theme="7"/>
  </sheetPr>
  <dimension ref="A1:G46"/>
  <sheetViews>
    <sheetView workbookViewId="0">
      <pane xSplit="2" ySplit="1" topLeftCell="C2" activePane="bottomRight" state="frozen"/>
      <selection activeCell="J18" sqref="J18"/>
      <selection pane="topRight" activeCell="J18" sqref="J18"/>
      <selection pane="bottomLeft" activeCell="J18" sqref="J18"/>
      <selection pane="bottomRight" activeCell="G1" sqref="G1:G1048576"/>
    </sheetView>
  </sheetViews>
  <sheetFormatPr defaultRowHeight="14.4" x14ac:dyDescent="0.3"/>
  <cols>
    <col min="3" max="5" width="8.88671875" customWidth="1"/>
    <col min="8" max="8" width="16.6640625" bestFit="1" customWidth="1"/>
  </cols>
  <sheetData>
    <row r="1" spans="1:7" x14ac:dyDescent="0.3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27</v>
      </c>
      <c r="G1" t="s">
        <v>41</v>
      </c>
    </row>
    <row r="2" spans="1:7" x14ac:dyDescent="0.3">
      <c r="A2" t="s">
        <v>10</v>
      </c>
      <c r="B2" t="s">
        <v>11</v>
      </c>
      <c r="C2">
        <v>50.3</v>
      </c>
      <c r="D2">
        <v>9.33</v>
      </c>
      <c r="E2">
        <f t="shared" ref="E2:E46" si="0">SQRT(D2^2+C2^2)</f>
        <v>51.157979827198027</v>
      </c>
      <c r="F2">
        <v>51.157979827198027</v>
      </c>
      <c r="G2">
        <f>F2/MAX($F$2:$F$46)</f>
        <v>0.72910427871208461</v>
      </c>
    </row>
    <row r="3" spans="1:7" x14ac:dyDescent="0.3">
      <c r="A3" t="s">
        <v>10</v>
      </c>
      <c r="B3" t="s">
        <v>12</v>
      </c>
      <c r="C3">
        <v>0</v>
      </c>
      <c r="D3">
        <v>8.0500000000000007</v>
      </c>
      <c r="E3">
        <f t="shared" si="0"/>
        <v>8.0500000000000007</v>
      </c>
      <c r="F3">
        <v>8.0500000000000007</v>
      </c>
      <c r="G3">
        <f t="shared" ref="G3:G46" si="1">F3/MAX($F$2:$F$46)</f>
        <v>0.11472871805058821</v>
      </c>
    </row>
    <row r="4" spans="1:7" x14ac:dyDescent="0.3">
      <c r="A4" t="s">
        <v>10</v>
      </c>
      <c r="B4" t="s">
        <v>13</v>
      </c>
      <c r="C4">
        <v>0</v>
      </c>
      <c r="D4">
        <v>10.37</v>
      </c>
      <c r="E4">
        <f t="shared" si="0"/>
        <v>10.37</v>
      </c>
      <c r="F4">
        <v>10.37</v>
      </c>
      <c r="G4">
        <f t="shared" si="1"/>
        <v>0.14779339207262104</v>
      </c>
    </row>
    <row r="5" spans="1:7" x14ac:dyDescent="0.3">
      <c r="A5" t="s">
        <v>10</v>
      </c>
      <c r="B5" t="s">
        <v>14</v>
      </c>
      <c r="C5">
        <v>2.23</v>
      </c>
      <c r="D5">
        <v>49.4</v>
      </c>
      <c r="E5">
        <f t="shared" si="0"/>
        <v>49.450307380237788</v>
      </c>
      <c r="F5">
        <v>49.450307380237788</v>
      </c>
      <c r="G5">
        <f t="shared" si="1"/>
        <v>0.70476650595555546</v>
      </c>
    </row>
    <row r="6" spans="1:7" x14ac:dyDescent="0.3">
      <c r="A6" t="s">
        <v>10</v>
      </c>
      <c r="B6" t="s">
        <v>15</v>
      </c>
      <c r="C6">
        <v>16.73</v>
      </c>
      <c r="D6">
        <v>45.59</v>
      </c>
      <c r="E6">
        <f t="shared" si="0"/>
        <v>48.562753216843056</v>
      </c>
      <c r="F6">
        <v>48.562753216843056</v>
      </c>
      <c r="G6">
        <f t="shared" si="1"/>
        <v>0.69211707100316544</v>
      </c>
    </row>
    <row r="7" spans="1:7" x14ac:dyDescent="0.3">
      <c r="A7" t="s">
        <v>10</v>
      </c>
      <c r="B7" t="s">
        <v>16</v>
      </c>
      <c r="C7">
        <v>50.51</v>
      </c>
      <c r="D7">
        <v>1.64</v>
      </c>
      <c r="E7">
        <f t="shared" si="0"/>
        <v>50.536617417472648</v>
      </c>
      <c r="F7">
        <v>50.536617417472648</v>
      </c>
      <c r="G7">
        <f t="shared" si="1"/>
        <v>0.72024861253660422</v>
      </c>
    </row>
    <row r="8" spans="1:7" x14ac:dyDescent="0.3">
      <c r="A8" t="s">
        <v>10</v>
      </c>
      <c r="B8" t="s">
        <v>17</v>
      </c>
      <c r="C8">
        <v>33.979999999999997</v>
      </c>
      <c r="D8">
        <v>42.59</v>
      </c>
      <c r="E8">
        <f t="shared" si="0"/>
        <v>54.484387672066205</v>
      </c>
      <c r="F8">
        <v>54.484387672066205</v>
      </c>
      <c r="G8">
        <f t="shared" si="1"/>
        <v>0.77651229209781703</v>
      </c>
    </row>
    <row r="9" spans="1:7" x14ac:dyDescent="0.3">
      <c r="A9" t="s">
        <v>10</v>
      </c>
      <c r="B9" t="s">
        <v>18</v>
      </c>
      <c r="C9">
        <v>21.53</v>
      </c>
      <c r="D9">
        <v>48.11</v>
      </c>
      <c r="E9">
        <f t="shared" si="0"/>
        <v>52.707807770765804</v>
      </c>
      <c r="F9">
        <v>52.707807770765804</v>
      </c>
      <c r="G9">
        <f t="shared" si="1"/>
        <v>0.75119244929152684</v>
      </c>
    </row>
    <row r="10" spans="1:7" x14ac:dyDescent="0.3">
      <c r="A10" t="s">
        <v>10</v>
      </c>
      <c r="B10" t="s">
        <v>19</v>
      </c>
      <c r="C10">
        <v>50.06</v>
      </c>
      <c r="D10">
        <v>3.93</v>
      </c>
      <c r="E10">
        <f t="shared" si="0"/>
        <v>50.214026924754798</v>
      </c>
      <c r="F10">
        <v>50.214026924754798</v>
      </c>
      <c r="G10">
        <f t="shared" si="1"/>
        <v>0.7156510481037065</v>
      </c>
    </row>
    <row r="11" spans="1:7" x14ac:dyDescent="0.3">
      <c r="A11" t="s">
        <v>11</v>
      </c>
      <c r="B11" t="s">
        <v>12</v>
      </c>
      <c r="C11">
        <v>50.28</v>
      </c>
      <c r="D11">
        <v>1.35</v>
      </c>
      <c r="E11">
        <f t="shared" si="0"/>
        <v>50.298120243205915</v>
      </c>
      <c r="F11">
        <v>50.298120243205915</v>
      </c>
      <c r="G11">
        <f t="shared" si="1"/>
        <v>0.71684954731147255</v>
      </c>
    </row>
    <row r="12" spans="1:7" x14ac:dyDescent="0.3">
      <c r="A12" t="s">
        <v>11</v>
      </c>
      <c r="B12" t="s">
        <v>13</v>
      </c>
      <c r="C12">
        <v>50.3</v>
      </c>
      <c r="D12">
        <v>0.99</v>
      </c>
      <c r="E12">
        <f t="shared" si="0"/>
        <v>50.309741601403601</v>
      </c>
      <c r="F12">
        <v>50.309741601403601</v>
      </c>
      <c r="G12">
        <f t="shared" si="1"/>
        <v>0.71701517507892931</v>
      </c>
    </row>
    <row r="13" spans="1:7" x14ac:dyDescent="0.3">
      <c r="A13" t="s">
        <v>11</v>
      </c>
      <c r="B13" t="s">
        <v>14</v>
      </c>
      <c r="C13">
        <v>48.05</v>
      </c>
      <c r="D13">
        <v>40.020000000000003</v>
      </c>
      <c r="E13">
        <f t="shared" si="0"/>
        <v>62.533214374442643</v>
      </c>
      <c r="F13">
        <v>62.533214374442643</v>
      </c>
      <c r="G13">
        <f t="shared" si="1"/>
        <v>0.89122428829346811</v>
      </c>
    </row>
    <row r="14" spans="1:7" x14ac:dyDescent="0.3">
      <c r="A14" t="s">
        <v>11</v>
      </c>
      <c r="B14" t="s">
        <v>15</v>
      </c>
      <c r="C14">
        <v>33.549999999999997</v>
      </c>
      <c r="D14">
        <v>36.19</v>
      </c>
      <c r="E14">
        <f t="shared" si="0"/>
        <v>49.348947303868599</v>
      </c>
      <c r="F14">
        <v>49.348947303868599</v>
      </c>
      <c r="G14">
        <f t="shared" si="1"/>
        <v>0.70332192066072974</v>
      </c>
    </row>
    <row r="15" spans="1:7" x14ac:dyDescent="0.3">
      <c r="A15" t="s">
        <v>11</v>
      </c>
      <c r="B15" t="s">
        <v>16</v>
      </c>
      <c r="C15">
        <v>0.22</v>
      </c>
      <c r="D15">
        <v>11.04</v>
      </c>
      <c r="E15">
        <f t="shared" si="0"/>
        <v>11.042191811411355</v>
      </c>
      <c r="F15">
        <v>11.042191811411355</v>
      </c>
      <c r="G15">
        <f t="shared" si="1"/>
        <v>0.15737347962632633</v>
      </c>
    </row>
    <row r="16" spans="1:7" x14ac:dyDescent="0.3">
      <c r="A16" t="s">
        <v>11</v>
      </c>
      <c r="B16" t="s">
        <v>17</v>
      </c>
      <c r="C16">
        <v>16.3</v>
      </c>
      <c r="D16">
        <v>33.25</v>
      </c>
      <c r="E16">
        <f t="shared" si="0"/>
        <v>37.0304266786112</v>
      </c>
      <c r="F16">
        <v>37.0304266786112</v>
      </c>
      <c r="G16">
        <f t="shared" si="1"/>
        <v>0.52775818406252961</v>
      </c>
    </row>
    <row r="17" spans="1:7" x14ac:dyDescent="0.3">
      <c r="A17" t="s">
        <v>11</v>
      </c>
      <c r="B17" t="s">
        <v>18</v>
      </c>
      <c r="C17">
        <v>28.75</v>
      </c>
      <c r="D17">
        <v>38.770000000000003</v>
      </c>
      <c r="E17">
        <f t="shared" si="0"/>
        <v>48.266711095743823</v>
      </c>
      <c r="F17">
        <v>48.266711095743823</v>
      </c>
      <c r="G17">
        <f t="shared" si="1"/>
        <v>0.68789787435189931</v>
      </c>
    </row>
    <row r="18" spans="1:7" x14ac:dyDescent="0.3">
      <c r="A18" t="s">
        <v>11</v>
      </c>
      <c r="B18" t="s">
        <v>19</v>
      </c>
      <c r="C18">
        <v>0.22</v>
      </c>
      <c r="D18">
        <v>5.46</v>
      </c>
      <c r="E18">
        <f t="shared" si="0"/>
        <v>5.4644304369257002</v>
      </c>
      <c r="F18">
        <v>5.4644304369257002</v>
      </c>
      <c r="G18">
        <f t="shared" si="1"/>
        <v>7.787914272113057E-2</v>
      </c>
    </row>
    <row r="19" spans="1:7" x14ac:dyDescent="0.3">
      <c r="A19" t="s">
        <v>12</v>
      </c>
      <c r="B19" t="s">
        <v>13</v>
      </c>
      <c r="C19">
        <v>0</v>
      </c>
      <c r="D19">
        <v>2.35</v>
      </c>
      <c r="E19">
        <f t="shared" si="0"/>
        <v>2.35</v>
      </c>
      <c r="F19">
        <v>2.35</v>
      </c>
      <c r="G19">
        <f t="shared" si="1"/>
        <v>3.3492234461972949E-2</v>
      </c>
    </row>
    <row r="20" spans="1:7" x14ac:dyDescent="0.3">
      <c r="A20" t="s">
        <v>12</v>
      </c>
      <c r="B20" t="s">
        <v>14</v>
      </c>
      <c r="C20">
        <v>2.23</v>
      </c>
      <c r="D20">
        <v>41.3</v>
      </c>
      <c r="E20">
        <f t="shared" si="0"/>
        <v>41.360160783053054</v>
      </c>
      <c r="F20">
        <v>41.360160783053054</v>
      </c>
      <c r="G20">
        <f t="shared" si="1"/>
        <v>0.58946561801315389</v>
      </c>
    </row>
    <row r="21" spans="1:7" x14ac:dyDescent="0.3">
      <c r="A21" t="s">
        <v>12</v>
      </c>
      <c r="B21" t="s">
        <v>15</v>
      </c>
      <c r="C21">
        <v>16.73</v>
      </c>
      <c r="D21">
        <v>37.619999999999997</v>
      </c>
      <c r="E21">
        <f t="shared" si="0"/>
        <v>41.172288010262434</v>
      </c>
      <c r="F21">
        <v>41.172288010262434</v>
      </c>
      <c r="G21">
        <f t="shared" si="1"/>
        <v>0.5867880525002499</v>
      </c>
    </row>
    <row r="22" spans="1:7" x14ac:dyDescent="0.3">
      <c r="A22" t="s">
        <v>12</v>
      </c>
      <c r="B22" t="s">
        <v>16</v>
      </c>
      <c r="C22">
        <v>50.51</v>
      </c>
      <c r="D22">
        <v>9.67</v>
      </c>
      <c r="E22">
        <f t="shared" si="0"/>
        <v>51.427317643447047</v>
      </c>
      <c r="F22">
        <v>51.427317643447047</v>
      </c>
      <c r="G22">
        <f t="shared" si="1"/>
        <v>0.73294288521901563</v>
      </c>
    </row>
    <row r="23" spans="1:7" x14ac:dyDescent="0.3">
      <c r="A23" t="s">
        <v>12</v>
      </c>
      <c r="B23" t="s">
        <v>17</v>
      </c>
      <c r="C23">
        <v>33.979999999999997</v>
      </c>
      <c r="D23">
        <v>34.6</v>
      </c>
      <c r="E23">
        <f t="shared" si="0"/>
        <v>48.495364726950967</v>
      </c>
      <c r="F23">
        <v>48.495364726950967</v>
      </c>
      <c r="G23">
        <f t="shared" si="1"/>
        <v>0.69115664925699349</v>
      </c>
    </row>
    <row r="24" spans="1:7" x14ac:dyDescent="0.3">
      <c r="A24" t="s">
        <v>12</v>
      </c>
      <c r="B24" t="s">
        <v>18</v>
      </c>
      <c r="C24">
        <v>21.53</v>
      </c>
      <c r="D24">
        <v>40.130000000000003</v>
      </c>
      <c r="E24">
        <f t="shared" si="0"/>
        <v>45.540726827752763</v>
      </c>
      <c r="F24">
        <v>45.540726827752763</v>
      </c>
      <c r="G24">
        <f t="shared" si="1"/>
        <v>0.6490471065888328</v>
      </c>
    </row>
    <row r="25" spans="1:7" x14ac:dyDescent="0.3">
      <c r="A25" t="s">
        <v>12</v>
      </c>
      <c r="B25" t="s">
        <v>19</v>
      </c>
      <c r="C25">
        <v>50.06</v>
      </c>
      <c r="D25">
        <v>4.1100000000000003</v>
      </c>
      <c r="E25">
        <f t="shared" si="0"/>
        <v>50.228435173714104</v>
      </c>
      <c r="F25">
        <v>50.228435173714104</v>
      </c>
      <c r="G25">
        <f t="shared" si="1"/>
        <v>0.71585639467916673</v>
      </c>
    </row>
    <row r="26" spans="1:7" x14ac:dyDescent="0.3">
      <c r="A26" t="s">
        <v>13</v>
      </c>
      <c r="B26" t="s">
        <v>14</v>
      </c>
      <c r="C26">
        <v>2.23</v>
      </c>
      <c r="D26">
        <v>39.07</v>
      </c>
      <c r="E26">
        <f t="shared" si="0"/>
        <v>39.13358915305367</v>
      </c>
      <c r="F26">
        <v>39.13358915305367</v>
      </c>
      <c r="G26">
        <f t="shared" si="1"/>
        <v>0.55773248649046592</v>
      </c>
    </row>
    <row r="27" spans="1:7" x14ac:dyDescent="0.3">
      <c r="A27" t="s">
        <v>13</v>
      </c>
      <c r="B27" t="s">
        <v>15</v>
      </c>
      <c r="C27">
        <v>16.73</v>
      </c>
      <c r="D27">
        <v>35.299999999999997</v>
      </c>
      <c r="E27">
        <f t="shared" si="0"/>
        <v>39.063831097320701</v>
      </c>
      <c r="F27">
        <v>39.063831097320701</v>
      </c>
      <c r="G27">
        <f t="shared" si="1"/>
        <v>0.55673829365718086</v>
      </c>
    </row>
    <row r="28" spans="1:7" x14ac:dyDescent="0.3">
      <c r="A28" t="s">
        <v>13</v>
      </c>
      <c r="B28" t="s">
        <v>16</v>
      </c>
      <c r="C28">
        <v>50.51</v>
      </c>
      <c r="D28">
        <v>11.9</v>
      </c>
      <c r="E28">
        <f t="shared" si="0"/>
        <v>51.892871379410103</v>
      </c>
      <c r="F28">
        <v>51.892871379410103</v>
      </c>
      <c r="G28">
        <f t="shared" si="1"/>
        <v>0.73957796389115271</v>
      </c>
    </row>
    <row r="29" spans="1:7" x14ac:dyDescent="0.3">
      <c r="A29" t="s">
        <v>13</v>
      </c>
      <c r="B29" t="s">
        <v>17</v>
      </c>
      <c r="C29">
        <v>33.979999999999997</v>
      </c>
      <c r="D29">
        <v>32.28</v>
      </c>
      <c r="E29">
        <f t="shared" si="0"/>
        <v>46.868313389751926</v>
      </c>
      <c r="F29">
        <v>46.868313389751926</v>
      </c>
      <c r="G29">
        <f t="shared" si="1"/>
        <v>0.66796788973906285</v>
      </c>
    </row>
    <row r="30" spans="1:7" x14ac:dyDescent="0.3">
      <c r="A30" t="s">
        <v>13</v>
      </c>
      <c r="B30" t="s">
        <v>18</v>
      </c>
      <c r="C30">
        <v>21.53</v>
      </c>
      <c r="D30">
        <v>37.82</v>
      </c>
      <c r="E30">
        <f t="shared" si="0"/>
        <v>43.5188844066573</v>
      </c>
      <c r="F30">
        <v>43.5188844066573</v>
      </c>
      <c r="G30">
        <f t="shared" si="1"/>
        <v>0.6202317787537297</v>
      </c>
    </row>
    <row r="31" spans="1:7" x14ac:dyDescent="0.3">
      <c r="A31" t="s">
        <v>13</v>
      </c>
      <c r="B31" t="s">
        <v>19</v>
      </c>
      <c r="C31">
        <v>50.06</v>
      </c>
      <c r="D31">
        <v>6.5</v>
      </c>
      <c r="E31">
        <f t="shared" si="0"/>
        <v>50.480229793454782</v>
      </c>
      <c r="F31">
        <v>50.480229793454782</v>
      </c>
      <c r="G31">
        <f t="shared" si="1"/>
        <v>0.71944497529219575</v>
      </c>
    </row>
    <row r="32" spans="1:7" x14ac:dyDescent="0.3">
      <c r="A32" t="s">
        <v>14</v>
      </c>
      <c r="B32" t="s">
        <v>15</v>
      </c>
      <c r="C32">
        <v>14.63</v>
      </c>
      <c r="D32">
        <v>3.68</v>
      </c>
      <c r="E32">
        <f t="shared" si="0"/>
        <v>15.08573166936228</v>
      </c>
      <c r="F32">
        <v>15.08573166936228</v>
      </c>
      <c r="G32">
        <f t="shared" si="1"/>
        <v>0.21500206897901791</v>
      </c>
    </row>
    <row r="33" spans="1:7" x14ac:dyDescent="0.3">
      <c r="A33" t="s">
        <v>14</v>
      </c>
      <c r="B33" t="s">
        <v>16</v>
      </c>
      <c r="C33">
        <v>48.4</v>
      </c>
      <c r="D33">
        <v>50.8</v>
      </c>
      <c r="E33">
        <f t="shared" si="0"/>
        <v>70.165518597100103</v>
      </c>
      <c r="F33">
        <v>70.165518597100103</v>
      </c>
      <c r="G33">
        <f t="shared" si="1"/>
        <v>1</v>
      </c>
    </row>
    <row r="34" spans="1:7" x14ac:dyDescent="0.3">
      <c r="A34" t="s">
        <v>14</v>
      </c>
      <c r="B34" t="s">
        <v>17</v>
      </c>
      <c r="C34">
        <v>31.88</v>
      </c>
      <c r="D34">
        <v>6.61</v>
      </c>
      <c r="E34">
        <f t="shared" si="0"/>
        <v>32.558048160170777</v>
      </c>
      <c r="F34">
        <v>32.558048160170777</v>
      </c>
      <c r="G34">
        <f t="shared" si="1"/>
        <v>0.46401777983176457</v>
      </c>
    </row>
    <row r="35" spans="1:7" x14ac:dyDescent="0.3">
      <c r="A35" t="s">
        <v>14</v>
      </c>
      <c r="B35" t="s">
        <v>18</v>
      </c>
      <c r="C35">
        <v>19.43</v>
      </c>
      <c r="D35">
        <v>1.1100000000000001</v>
      </c>
      <c r="E35">
        <f t="shared" si="0"/>
        <v>19.461680297446055</v>
      </c>
      <c r="F35">
        <v>19.461680297446055</v>
      </c>
      <c r="G35">
        <f t="shared" si="1"/>
        <v>0.27736815299830753</v>
      </c>
    </row>
    <row r="36" spans="1:7" x14ac:dyDescent="0.3">
      <c r="A36" t="s">
        <v>14</v>
      </c>
      <c r="B36" t="s">
        <v>19</v>
      </c>
      <c r="C36">
        <v>47.96</v>
      </c>
      <c r="D36">
        <v>45.41</v>
      </c>
      <c r="E36">
        <f t="shared" si="0"/>
        <v>66.047177835241371</v>
      </c>
      <c r="F36">
        <v>66.047177835241371</v>
      </c>
      <c r="G36">
        <f t="shared" si="1"/>
        <v>0.94130534706788382</v>
      </c>
    </row>
    <row r="37" spans="1:7" x14ac:dyDescent="0.3">
      <c r="A37" t="s">
        <v>15</v>
      </c>
      <c r="B37" t="s">
        <v>16</v>
      </c>
      <c r="C37">
        <v>33.770000000000003</v>
      </c>
      <c r="D37">
        <v>47.3</v>
      </c>
      <c r="E37">
        <f t="shared" si="0"/>
        <v>58.118008396709534</v>
      </c>
      <c r="F37">
        <v>58.118008396709534</v>
      </c>
      <c r="G37">
        <f t="shared" si="1"/>
        <v>0.82829870795128013</v>
      </c>
    </row>
    <row r="38" spans="1:7" x14ac:dyDescent="0.3">
      <c r="A38" t="s">
        <v>15</v>
      </c>
      <c r="B38" t="s">
        <v>17</v>
      </c>
      <c r="C38">
        <v>17.25</v>
      </c>
      <c r="D38">
        <v>3.02</v>
      </c>
      <c r="E38">
        <f t="shared" si="0"/>
        <v>17.512364203613402</v>
      </c>
      <c r="F38">
        <v>17.512364203613402</v>
      </c>
      <c r="G38">
        <f t="shared" si="1"/>
        <v>0.24958647144292861</v>
      </c>
    </row>
    <row r="39" spans="1:7" x14ac:dyDescent="0.3">
      <c r="A39" t="s">
        <v>15</v>
      </c>
      <c r="B39" t="s">
        <v>18</v>
      </c>
      <c r="C39">
        <v>4.8</v>
      </c>
      <c r="D39">
        <v>2.5</v>
      </c>
      <c r="E39">
        <f t="shared" si="0"/>
        <v>5.4120236510939232</v>
      </c>
      <c r="F39">
        <v>5.4120236510939232</v>
      </c>
      <c r="G39">
        <f t="shared" si="1"/>
        <v>7.7132240440927896E-2</v>
      </c>
    </row>
    <row r="40" spans="1:7" x14ac:dyDescent="0.3">
      <c r="A40" t="s">
        <v>15</v>
      </c>
      <c r="B40" t="s">
        <v>19</v>
      </c>
      <c r="C40">
        <v>33.33</v>
      </c>
      <c r="D40">
        <v>41.73</v>
      </c>
      <c r="E40">
        <f t="shared" si="0"/>
        <v>53.406757999339369</v>
      </c>
      <c r="F40">
        <v>53.406757999339369</v>
      </c>
      <c r="G40">
        <f t="shared" si="1"/>
        <v>0.76115389819903134</v>
      </c>
    </row>
    <row r="41" spans="1:7" x14ac:dyDescent="0.3">
      <c r="A41" t="s">
        <v>16</v>
      </c>
      <c r="B41" t="s">
        <v>17</v>
      </c>
      <c r="C41">
        <v>16.559999999999999</v>
      </c>
      <c r="D41">
        <v>44.17</v>
      </c>
      <c r="E41">
        <f t="shared" si="0"/>
        <v>47.172264096606597</v>
      </c>
      <c r="F41">
        <v>47.172264096606597</v>
      </c>
      <c r="G41">
        <f t="shared" si="1"/>
        <v>0.67229979967049225</v>
      </c>
    </row>
    <row r="42" spans="1:7" x14ac:dyDescent="0.3">
      <c r="A42" t="s">
        <v>16</v>
      </c>
      <c r="B42" t="s">
        <v>18</v>
      </c>
      <c r="C42">
        <v>29.01</v>
      </c>
      <c r="D42">
        <v>49.69</v>
      </c>
      <c r="E42">
        <f t="shared" si="0"/>
        <v>57.538475822704932</v>
      </c>
      <c r="F42">
        <v>57.538475822704932</v>
      </c>
      <c r="G42">
        <f t="shared" si="1"/>
        <v>0.82003920120791296</v>
      </c>
    </row>
    <row r="43" spans="1:7" x14ac:dyDescent="0.3">
      <c r="A43" t="s">
        <v>16</v>
      </c>
      <c r="B43" t="s">
        <v>19</v>
      </c>
      <c r="C43">
        <v>0.48</v>
      </c>
      <c r="D43">
        <v>5.46</v>
      </c>
      <c r="E43">
        <f t="shared" si="0"/>
        <v>5.4810582919724542</v>
      </c>
      <c r="F43">
        <v>5.4810582919724542</v>
      </c>
      <c r="G43">
        <f t="shared" si="1"/>
        <v>7.8116123155098902E-2</v>
      </c>
    </row>
    <row r="44" spans="1:7" x14ac:dyDescent="0.3">
      <c r="A44" t="s">
        <v>17</v>
      </c>
      <c r="B44" t="s">
        <v>18</v>
      </c>
      <c r="C44">
        <v>12.45</v>
      </c>
      <c r="D44">
        <v>5.46</v>
      </c>
      <c r="E44">
        <f t="shared" si="0"/>
        <v>13.594634971193598</v>
      </c>
      <c r="F44">
        <v>13.594634971193598</v>
      </c>
      <c r="G44">
        <f t="shared" si="1"/>
        <v>0.19375093697027782</v>
      </c>
    </row>
    <row r="45" spans="1:7" x14ac:dyDescent="0.3">
      <c r="A45" t="s">
        <v>17</v>
      </c>
      <c r="B45" t="s">
        <v>19</v>
      </c>
      <c r="C45">
        <v>16.079999999999998</v>
      </c>
      <c r="D45">
        <v>38.71</v>
      </c>
      <c r="E45">
        <f t="shared" si="0"/>
        <v>41.916947646506898</v>
      </c>
      <c r="F45">
        <v>41.916947646506898</v>
      </c>
      <c r="G45">
        <f t="shared" si="1"/>
        <v>0.5974009525561933</v>
      </c>
    </row>
    <row r="46" spans="1:7" x14ac:dyDescent="0.3">
      <c r="A46" t="s">
        <v>18</v>
      </c>
      <c r="B46" t="s">
        <v>19</v>
      </c>
      <c r="C46">
        <v>28.53</v>
      </c>
      <c r="D46">
        <v>44.17</v>
      </c>
      <c r="E46">
        <f t="shared" si="0"/>
        <v>52.582789960214171</v>
      </c>
      <c r="F46">
        <v>52.582789960214171</v>
      </c>
      <c r="G46">
        <f t="shared" si="1"/>
        <v>0.74941069362220014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84AF1-C671-4247-841E-E70772AA7EC5}">
  <sheetPr>
    <tabColor theme="7"/>
  </sheetPr>
  <dimension ref="A1:X11"/>
  <sheetViews>
    <sheetView workbookViewId="0">
      <selection activeCell="J18" sqref="J18"/>
    </sheetView>
  </sheetViews>
  <sheetFormatPr defaultRowHeight="14.4" x14ac:dyDescent="0.3"/>
  <cols>
    <col min="1" max="1" width="6" customWidth="1"/>
    <col min="15" max="24" width="9.109375" style="1"/>
  </cols>
  <sheetData>
    <row r="1" spans="1:24" x14ac:dyDescent="0.3"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/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</row>
    <row r="2" spans="1:24" x14ac:dyDescent="0.3">
      <c r="A2" t="s">
        <v>10</v>
      </c>
      <c r="B2" s="2">
        <v>0</v>
      </c>
      <c r="C2">
        <v>51.157979827198027</v>
      </c>
      <c r="D2">
        <v>8.0500000000000007</v>
      </c>
      <c r="E2">
        <v>10.37</v>
      </c>
      <c r="F2">
        <v>49.450307380237788</v>
      </c>
      <c r="G2">
        <v>48.562753216843056</v>
      </c>
      <c r="H2">
        <v>50.536617417472648</v>
      </c>
      <c r="I2">
        <v>54.484387672066205</v>
      </c>
      <c r="J2">
        <v>52.707807770765804</v>
      </c>
      <c r="K2">
        <v>50.214026924754798</v>
      </c>
      <c r="L2" s="1"/>
      <c r="O2" s="1">
        <f>B2/$M$3</f>
        <v>0</v>
      </c>
      <c r="P2" s="1">
        <f t="shared" ref="P2:V11" si="0">C2/$M$3</f>
        <v>0.72910427871208461</v>
      </c>
      <c r="Q2" s="1">
        <f t="shared" si="0"/>
        <v>0.11472871805058821</v>
      </c>
      <c r="R2" s="1">
        <f t="shared" si="0"/>
        <v>0.14779339207262104</v>
      </c>
      <c r="S2" s="1">
        <f t="shared" si="0"/>
        <v>0.70476650595555546</v>
      </c>
      <c r="T2" s="1">
        <f t="shared" si="0"/>
        <v>0.69211707100316544</v>
      </c>
      <c r="U2" s="1">
        <f t="shared" si="0"/>
        <v>0.72024861253660422</v>
      </c>
      <c r="V2" s="1">
        <f>I2/$M$3</f>
        <v>0.77651229209781703</v>
      </c>
      <c r="W2" s="1">
        <f t="shared" ref="W2:X11" si="1">J2/$M$3</f>
        <v>0.75119244929152684</v>
      </c>
      <c r="X2" s="1">
        <f>K2/$M$3</f>
        <v>0.7156510481037065</v>
      </c>
    </row>
    <row r="3" spans="1:24" x14ac:dyDescent="0.3">
      <c r="A3" t="s">
        <v>11</v>
      </c>
      <c r="B3" s="2">
        <v>51.157979827198027</v>
      </c>
      <c r="C3" s="2">
        <v>0</v>
      </c>
      <c r="D3">
        <v>50.298120243205915</v>
      </c>
      <c r="E3">
        <v>50.309741601403601</v>
      </c>
      <c r="F3">
        <v>62.533214374442643</v>
      </c>
      <c r="G3">
        <v>49.348947303868599</v>
      </c>
      <c r="H3">
        <v>11.042191811411355</v>
      </c>
      <c r="I3">
        <v>37.0304266786112</v>
      </c>
      <c r="J3">
        <v>48.266711095743823</v>
      </c>
      <c r="K3">
        <v>5.4644304369257002</v>
      </c>
      <c r="M3">
        <f>MAX(B2:K11)</f>
        <v>70.165518597100103</v>
      </c>
      <c r="O3" s="1">
        <f t="shared" ref="O3:O11" si="2">B3/$M$3</f>
        <v>0.72910427871208461</v>
      </c>
      <c r="P3" s="1">
        <f t="shared" si="0"/>
        <v>0</v>
      </c>
      <c r="Q3" s="1">
        <f t="shared" si="0"/>
        <v>0.71684954731147255</v>
      </c>
      <c r="R3" s="1">
        <f t="shared" si="0"/>
        <v>0.71701517507892931</v>
      </c>
      <c r="S3" s="1">
        <f t="shared" si="0"/>
        <v>0.89122428829346811</v>
      </c>
      <c r="T3" s="1">
        <f t="shared" si="0"/>
        <v>0.70332192066072974</v>
      </c>
      <c r="U3" s="1">
        <f t="shared" si="0"/>
        <v>0.15737347962632633</v>
      </c>
      <c r="V3" s="1">
        <f t="shared" si="0"/>
        <v>0.52775818406252961</v>
      </c>
      <c r="W3" s="1">
        <f t="shared" si="1"/>
        <v>0.68789787435189931</v>
      </c>
      <c r="X3" s="1">
        <f t="shared" si="1"/>
        <v>7.787914272113057E-2</v>
      </c>
    </row>
    <row r="4" spans="1:24" x14ac:dyDescent="0.3">
      <c r="A4" t="s">
        <v>12</v>
      </c>
      <c r="B4" s="2">
        <v>8.0500000000000007</v>
      </c>
      <c r="C4">
        <v>50.298120243205915</v>
      </c>
      <c r="D4" s="2">
        <v>0</v>
      </c>
      <c r="E4">
        <v>2.35</v>
      </c>
      <c r="F4">
        <v>41.360160783053054</v>
      </c>
      <c r="G4">
        <v>41.172288010262434</v>
      </c>
      <c r="H4">
        <v>51.427317643447047</v>
      </c>
      <c r="I4">
        <v>48.495364726950967</v>
      </c>
      <c r="J4">
        <v>45.540726827752763</v>
      </c>
      <c r="K4">
        <v>50.228435173714104</v>
      </c>
      <c r="O4" s="1">
        <f t="shared" si="2"/>
        <v>0.11472871805058821</v>
      </c>
      <c r="P4" s="1">
        <f t="shared" si="0"/>
        <v>0.71684954731147255</v>
      </c>
      <c r="Q4" s="1">
        <f t="shared" si="0"/>
        <v>0</v>
      </c>
      <c r="R4" s="1">
        <f t="shared" si="0"/>
        <v>3.3492234461972949E-2</v>
      </c>
      <c r="S4" s="1">
        <f t="shared" si="0"/>
        <v>0.58946561801315389</v>
      </c>
      <c r="T4" s="1">
        <f t="shared" si="0"/>
        <v>0.5867880525002499</v>
      </c>
      <c r="U4" s="1">
        <f t="shared" si="0"/>
        <v>0.73294288521901563</v>
      </c>
      <c r="V4" s="1">
        <f t="shared" si="0"/>
        <v>0.69115664925699349</v>
      </c>
      <c r="W4" s="1">
        <f t="shared" si="1"/>
        <v>0.6490471065888328</v>
      </c>
      <c r="X4" s="1">
        <f t="shared" si="1"/>
        <v>0.71585639467916673</v>
      </c>
    </row>
    <row r="5" spans="1:24" x14ac:dyDescent="0.3">
      <c r="A5" t="s">
        <v>13</v>
      </c>
      <c r="B5" s="2">
        <v>10.37</v>
      </c>
      <c r="C5">
        <v>50.309741601403601</v>
      </c>
      <c r="D5">
        <v>2.35</v>
      </c>
      <c r="E5" s="2">
        <v>0</v>
      </c>
      <c r="F5">
        <v>39.13358915305367</v>
      </c>
      <c r="G5">
        <v>39.063831097320701</v>
      </c>
      <c r="H5">
        <v>51.892871379410103</v>
      </c>
      <c r="I5">
        <v>46.868313389751926</v>
      </c>
      <c r="J5">
        <v>43.5188844066573</v>
      </c>
      <c r="K5">
        <v>50.480229793454782</v>
      </c>
      <c r="O5" s="1">
        <f t="shared" si="2"/>
        <v>0.14779339207262104</v>
      </c>
      <c r="P5" s="1">
        <f t="shared" si="0"/>
        <v>0.71701517507892931</v>
      </c>
      <c r="Q5" s="1">
        <f t="shared" si="0"/>
        <v>3.3492234461972949E-2</v>
      </c>
      <c r="R5" s="1">
        <f t="shared" si="0"/>
        <v>0</v>
      </c>
      <c r="S5" s="1">
        <f t="shared" si="0"/>
        <v>0.55773248649046592</v>
      </c>
      <c r="T5" s="1">
        <f t="shared" si="0"/>
        <v>0.55673829365718086</v>
      </c>
      <c r="U5" s="1">
        <f t="shared" si="0"/>
        <v>0.73957796389115271</v>
      </c>
      <c r="V5" s="1">
        <f t="shared" si="0"/>
        <v>0.66796788973906285</v>
      </c>
      <c r="W5" s="1">
        <f t="shared" si="1"/>
        <v>0.6202317787537297</v>
      </c>
      <c r="X5" s="1">
        <f t="shared" si="1"/>
        <v>0.71944497529219575</v>
      </c>
    </row>
    <row r="6" spans="1:24" x14ac:dyDescent="0.3">
      <c r="A6" t="s">
        <v>14</v>
      </c>
      <c r="B6" s="2">
        <v>49.450307380237788</v>
      </c>
      <c r="C6">
        <v>62.533214374442643</v>
      </c>
      <c r="D6">
        <v>41.360160783053054</v>
      </c>
      <c r="E6">
        <v>39.13358915305367</v>
      </c>
      <c r="F6" s="2">
        <v>0</v>
      </c>
      <c r="G6">
        <v>15.08573166936228</v>
      </c>
      <c r="H6">
        <v>70.165518597100103</v>
      </c>
      <c r="I6">
        <v>32.558048160170777</v>
      </c>
      <c r="J6">
        <v>19.461680297446055</v>
      </c>
      <c r="K6">
        <v>66.047177835241371</v>
      </c>
      <c r="O6" s="1">
        <f t="shared" si="2"/>
        <v>0.70476650595555546</v>
      </c>
      <c r="P6" s="1">
        <f t="shared" si="0"/>
        <v>0.89122428829346811</v>
      </c>
      <c r="Q6" s="1">
        <f t="shared" si="0"/>
        <v>0.58946561801315389</v>
      </c>
      <c r="R6" s="1">
        <f t="shared" si="0"/>
        <v>0.55773248649046592</v>
      </c>
      <c r="S6" s="1">
        <f t="shared" si="0"/>
        <v>0</v>
      </c>
      <c r="T6" s="1">
        <f t="shared" si="0"/>
        <v>0.21500206897901791</v>
      </c>
      <c r="U6" s="1">
        <f t="shared" si="0"/>
        <v>1</v>
      </c>
      <c r="V6" s="1">
        <f t="shared" si="0"/>
        <v>0.46401777983176457</v>
      </c>
      <c r="W6" s="1">
        <f t="shared" si="1"/>
        <v>0.27736815299830753</v>
      </c>
      <c r="X6" s="1">
        <f t="shared" si="1"/>
        <v>0.94130534706788382</v>
      </c>
    </row>
    <row r="7" spans="1:24" x14ac:dyDescent="0.3">
      <c r="A7" t="s">
        <v>15</v>
      </c>
      <c r="B7" s="2">
        <v>48.562753216843056</v>
      </c>
      <c r="C7">
        <v>49.348947303868599</v>
      </c>
      <c r="D7">
        <v>41.172288010262434</v>
      </c>
      <c r="E7">
        <v>39.063831097320701</v>
      </c>
      <c r="F7">
        <v>15.08573166936228</v>
      </c>
      <c r="G7" s="2">
        <v>0</v>
      </c>
      <c r="H7">
        <v>58.118008396709534</v>
      </c>
      <c r="I7">
        <v>17.512364203613402</v>
      </c>
      <c r="J7">
        <v>5.4120236510939232</v>
      </c>
      <c r="K7">
        <v>53.406757999339369</v>
      </c>
      <c r="O7" s="1">
        <f t="shared" si="2"/>
        <v>0.69211707100316544</v>
      </c>
      <c r="P7" s="1">
        <f t="shared" si="0"/>
        <v>0.70332192066072974</v>
      </c>
      <c r="Q7" s="1">
        <f t="shared" si="0"/>
        <v>0.5867880525002499</v>
      </c>
      <c r="R7" s="1">
        <f t="shared" si="0"/>
        <v>0.55673829365718086</v>
      </c>
      <c r="S7" s="1">
        <f t="shared" si="0"/>
        <v>0.21500206897901791</v>
      </c>
      <c r="T7" s="1">
        <f t="shared" si="0"/>
        <v>0</v>
      </c>
      <c r="U7" s="1">
        <f t="shared" si="0"/>
        <v>0.82829870795128013</v>
      </c>
      <c r="V7" s="1">
        <f t="shared" si="0"/>
        <v>0.24958647144292861</v>
      </c>
      <c r="W7" s="1">
        <f t="shared" si="1"/>
        <v>7.7132240440927896E-2</v>
      </c>
      <c r="X7" s="1">
        <f t="shared" si="1"/>
        <v>0.76115389819903134</v>
      </c>
    </row>
    <row r="8" spans="1:24" x14ac:dyDescent="0.3">
      <c r="A8" t="s">
        <v>16</v>
      </c>
      <c r="B8" s="2">
        <v>50.536617417472648</v>
      </c>
      <c r="C8">
        <v>11.042191811411355</v>
      </c>
      <c r="D8">
        <v>51.427317643447047</v>
      </c>
      <c r="E8">
        <v>51.892871379410103</v>
      </c>
      <c r="F8">
        <v>70.165518597100103</v>
      </c>
      <c r="G8">
        <v>58.118008396709534</v>
      </c>
      <c r="H8" s="2">
        <v>0</v>
      </c>
      <c r="I8">
        <v>47.172264096606597</v>
      </c>
      <c r="J8">
        <v>57.538475822704932</v>
      </c>
      <c r="K8">
        <v>5.4810582919724542</v>
      </c>
      <c r="O8" s="1">
        <f t="shared" si="2"/>
        <v>0.72024861253660422</v>
      </c>
      <c r="P8" s="1">
        <f t="shared" si="0"/>
        <v>0.15737347962632633</v>
      </c>
      <c r="Q8" s="1">
        <f t="shared" si="0"/>
        <v>0.73294288521901563</v>
      </c>
      <c r="R8" s="1">
        <f t="shared" si="0"/>
        <v>0.73957796389115271</v>
      </c>
      <c r="S8" s="1">
        <f t="shared" si="0"/>
        <v>1</v>
      </c>
      <c r="T8" s="1">
        <f t="shared" si="0"/>
        <v>0.82829870795128013</v>
      </c>
      <c r="U8" s="1">
        <f t="shared" si="0"/>
        <v>0</v>
      </c>
      <c r="V8" s="1">
        <f t="shared" si="0"/>
        <v>0.67229979967049225</v>
      </c>
      <c r="W8" s="1">
        <f t="shared" si="1"/>
        <v>0.82003920120791296</v>
      </c>
      <c r="X8" s="1">
        <f t="shared" si="1"/>
        <v>7.8116123155098902E-2</v>
      </c>
    </row>
    <row r="9" spans="1:24" x14ac:dyDescent="0.3">
      <c r="A9" t="s">
        <v>17</v>
      </c>
      <c r="B9" s="2">
        <v>54.484387672066205</v>
      </c>
      <c r="C9">
        <v>37.0304266786112</v>
      </c>
      <c r="D9">
        <v>48.495364726950967</v>
      </c>
      <c r="E9">
        <v>46.868313389751926</v>
      </c>
      <c r="F9">
        <v>32.558048160170777</v>
      </c>
      <c r="G9">
        <v>17.512364203613402</v>
      </c>
      <c r="H9">
        <v>47.172264096606597</v>
      </c>
      <c r="I9" s="2">
        <v>0</v>
      </c>
      <c r="J9">
        <v>13.594634971193598</v>
      </c>
      <c r="K9">
        <v>41.916947646506898</v>
      </c>
      <c r="O9" s="1">
        <f t="shared" si="2"/>
        <v>0.77651229209781703</v>
      </c>
      <c r="P9" s="1">
        <f t="shared" si="0"/>
        <v>0.52775818406252961</v>
      </c>
      <c r="Q9" s="1">
        <f t="shared" si="0"/>
        <v>0.69115664925699349</v>
      </c>
      <c r="R9" s="1">
        <f t="shared" si="0"/>
        <v>0.66796788973906285</v>
      </c>
      <c r="S9" s="1">
        <f t="shared" si="0"/>
        <v>0.46401777983176457</v>
      </c>
      <c r="T9" s="1">
        <f t="shared" si="0"/>
        <v>0.24958647144292861</v>
      </c>
      <c r="U9" s="1">
        <f t="shared" si="0"/>
        <v>0.67229979967049225</v>
      </c>
      <c r="V9" s="1">
        <f t="shared" si="0"/>
        <v>0</v>
      </c>
      <c r="W9" s="1">
        <f t="shared" si="1"/>
        <v>0.19375093697027782</v>
      </c>
      <c r="X9" s="1">
        <f t="shared" si="1"/>
        <v>0.5974009525561933</v>
      </c>
    </row>
    <row r="10" spans="1:24" x14ac:dyDescent="0.3">
      <c r="A10" t="s">
        <v>18</v>
      </c>
      <c r="B10" s="2">
        <v>52.707807770765804</v>
      </c>
      <c r="C10">
        <v>48.266711095743823</v>
      </c>
      <c r="D10">
        <v>45.540726827752763</v>
      </c>
      <c r="E10">
        <v>43.5188844066573</v>
      </c>
      <c r="F10">
        <v>19.461680297446055</v>
      </c>
      <c r="G10">
        <v>5.4120236510939232</v>
      </c>
      <c r="H10">
        <v>57.538475822704932</v>
      </c>
      <c r="I10">
        <v>13.594634971193598</v>
      </c>
      <c r="J10" s="2">
        <v>0</v>
      </c>
      <c r="K10">
        <v>52.582789960214171</v>
      </c>
      <c r="O10" s="1">
        <f t="shared" si="2"/>
        <v>0.75119244929152684</v>
      </c>
      <c r="P10" s="1">
        <f t="shared" si="0"/>
        <v>0.68789787435189931</v>
      </c>
      <c r="Q10" s="1">
        <f t="shared" si="0"/>
        <v>0.6490471065888328</v>
      </c>
      <c r="R10" s="1">
        <f t="shared" si="0"/>
        <v>0.6202317787537297</v>
      </c>
      <c r="S10" s="1">
        <f t="shared" si="0"/>
        <v>0.27736815299830753</v>
      </c>
      <c r="T10" s="1">
        <f t="shared" si="0"/>
        <v>7.7132240440927896E-2</v>
      </c>
      <c r="U10" s="1">
        <f t="shared" si="0"/>
        <v>0.82003920120791296</v>
      </c>
      <c r="V10" s="1">
        <f t="shared" si="0"/>
        <v>0.19375093697027782</v>
      </c>
      <c r="W10" s="1">
        <f t="shared" si="1"/>
        <v>0</v>
      </c>
      <c r="X10" s="1">
        <f t="shared" si="1"/>
        <v>0.74941069362220014</v>
      </c>
    </row>
    <row r="11" spans="1:24" x14ac:dyDescent="0.3">
      <c r="A11" t="s">
        <v>19</v>
      </c>
      <c r="B11" s="2">
        <v>50.214026924754798</v>
      </c>
      <c r="C11">
        <v>5.4644304369257002</v>
      </c>
      <c r="D11">
        <v>50.228435173714104</v>
      </c>
      <c r="E11">
        <v>50.480229793454782</v>
      </c>
      <c r="F11">
        <v>66.047177835241371</v>
      </c>
      <c r="G11">
        <v>53.406757999339369</v>
      </c>
      <c r="H11">
        <v>5.4810582919724542</v>
      </c>
      <c r="I11">
        <v>41.916947646506898</v>
      </c>
      <c r="J11">
        <v>52.582789960214171</v>
      </c>
      <c r="K11" s="2">
        <v>0</v>
      </c>
      <c r="L11" s="1"/>
      <c r="O11" s="1">
        <f t="shared" si="2"/>
        <v>0.7156510481037065</v>
      </c>
      <c r="P11" s="1">
        <f t="shared" si="0"/>
        <v>7.787914272113057E-2</v>
      </c>
      <c r="Q11" s="1">
        <f t="shared" si="0"/>
        <v>0.71585639467916673</v>
      </c>
      <c r="R11" s="1">
        <f t="shared" si="0"/>
        <v>0.71944497529219575</v>
      </c>
      <c r="S11" s="1">
        <f t="shared" si="0"/>
        <v>0.94130534706788382</v>
      </c>
      <c r="T11" s="1">
        <f t="shared" si="0"/>
        <v>0.76115389819903134</v>
      </c>
      <c r="U11" s="1">
        <f t="shared" si="0"/>
        <v>7.8116123155098902E-2</v>
      </c>
      <c r="V11" s="1">
        <f t="shared" si="0"/>
        <v>0.5974009525561933</v>
      </c>
      <c r="W11" s="1">
        <f t="shared" si="1"/>
        <v>0.74941069362220014</v>
      </c>
      <c r="X11" s="1">
        <f t="shared" si="1"/>
        <v>0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9D5B4-E4FC-4F3A-ABF0-CAEEE1C1915E}">
  <sheetPr>
    <tabColor rgb="FFC00000"/>
  </sheetPr>
  <dimension ref="A1:J11"/>
  <sheetViews>
    <sheetView workbookViewId="0">
      <selection activeCell="F23" sqref="F23"/>
    </sheetView>
  </sheetViews>
  <sheetFormatPr defaultRowHeight="14.4" x14ac:dyDescent="0.3"/>
  <sheetData>
    <row r="1" spans="1:10" x14ac:dyDescent="0.3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</row>
    <row r="2" spans="1:10" x14ac:dyDescent="0.3">
      <c r="A2">
        <v>0</v>
      </c>
      <c r="B2">
        <v>0.72910427871208461</v>
      </c>
      <c r="C2">
        <v>0.11472871805058821</v>
      </c>
      <c r="D2">
        <v>0.14779339207262104</v>
      </c>
      <c r="E2">
        <v>0.70476650595555546</v>
      </c>
      <c r="F2">
        <v>0.69211707100316544</v>
      </c>
      <c r="G2">
        <v>0.72024861253660422</v>
      </c>
      <c r="H2">
        <v>0.77651229209781703</v>
      </c>
      <c r="I2">
        <v>0.75119244929152684</v>
      </c>
      <c r="J2">
        <v>0.7156510481037065</v>
      </c>
    </row>
    <row r="3" spans="1:10" x14ac:dyDescent="0.3">
      <c r="A3">
        <v>0.72910427871208461</v>
      </c>
      <c r="B3">
        <v>0</v>
      </c>
      <c r="C3">
        <v>0.71684954731147255</v>
      </c>
      <c r="D3">
        <v>0.71701517507892931</v>
      </c>
      <c r="E3">
        <v>0.89122428829346811</v>
      </c>
      <c r="F3">
        <v>0.70332192066072974</v>
      </c>
      <c r="G3">
        <v>0.15737347962632633</v>
      </c>
      <c r="H3">
        <v>0.52775818406252961</v>
      </c>
      <c r="I3">
        <v>0.68789787435189931</v>
      </c>
      <c r="J3">
        <v>7.787914272113057E-2</v>
      </c>
    </row>
    <row r="4" spans="1:10" x14ac:dyDescent="0.3">
      <c r="A4">
        <v>0.11472871805058821</v>
      </c>
      <c r="B4">
        <v>0.71684954731147255</v>
      </c>
      <c r="C4">
        <v>0</v>
      </c>
      <c r="D4">
        <v>3.3492234461972949E-2</v>
      </c>
      <c r="E4">
        <v>0.58946561801315389</v>
      </c>
      <c r="F4">
        <v>0.5867880525002499</v>
      </c>
      <c r="G4">
        <v>0.73294288521901563</v>
      </c>
      <c r="H4">
        <v>0.69115664925699349</v>
      </c>
      <c r="I4">
        <v>0.6490471065888328</v>
      </c>
      <c r="J4">
        <v>0.71585639467916673</v>
      </c>
    </row>
    <row r="5" spans="1:10" x14ac:dyDescent="0.3">
      <c r="A5">
        <v>0.14779339207262104</v>
      </c>
      <c r="B5">
        <v>0.71701517507892931</v>
      </c>
      <c r="C5">
        <v>3.3492234461972949E-2</v>
      </c>
      <c r="D5">
        <v>0</v>
      </c>
      <c r="E5">
        <v>0.55773248649046592</v>
      </c>
      <c r="F5">
        <v>0.55673829365718086</v>
      </c>
      <c r="G5">
        <v>0.73957796389115271</v>
      </c>
      <c r="H5">
        <v>0.66796788973906285</v>
      </c>
      <c r="I5">
        <v>0.6202317787537297</v>
      </c>
      <c r="J5">
        <v>0.71944497529219575</v>
      </c>
    </row>
    <row r="6" spans="1:10" x14ac:dyDescent="0.3">
      <c r="A6">
        <v>0.70476650595555546</v>
      </c>
      <c r="B6">
        <v>0.89122428829346811</v>
      </c>
      <c r="C6">
        <v>0.58946561801315389</v>
      </c>
      <c r="D6">
        <v>0.55773248649046592</v>
      </c>
      <c r="E6">
        <v>0</v>
      </c>
      <c r="F6">
        <v>0.21500206897901791</v>
      </c>
      <c r="G6">
        <v>1</v>
      </c>
      <c r="H6">
        <v>0.46401777983176457</v>
      </c>
      <c r="I6">
        <v>0.27736815299830753</v>
      </c>
      <c r="J6">
        <v>0.94130534706788382</v>
      </c>
    </row>
    <row r="7" spans="1:10" x14ac:dyDescent="0.3">
      <c r="A7">
        <v>0.69211707100316544</v>
      </c>
      <c r="B7">
        <v>0.70332192066072974</v>
      </c>
      <c r="C7">
        <v>0.5867880525002499</v>
      </c>
      <c r="D7">
        <v>0.55673829365718086</v>
      </c>
      <c r="E7">
        <v>0.21500206897901791</v>
      </c>
      <c r="F7">
        <v>0</v>
      </c>
      <c r="G7">
        <v>0.82829870795128013</v>
      </c>
      <c r="H7">
        <v>0.24958647144292861</v>
      </c>
      <c r="I7">
        <v>7.7132240440927896E-2</v>
      </c>
      <c r="J7">
        <v>0.76115389819903134</v>
      </c>
    </row>
    <row r="8" spans="1:10" x14ac:dyDescent="0.3">
      <c r="A8">
        <v>0.72024861253660422</v>
      </c>
      <c r="B8">
        <v>0.15737347962632633</v>
      </c>
      <c r="C8">
        <v>0.73294288521901563</v>
      </c>
      <c r="D8">
        <v>0.73957796389115271</v>
      </c>
      <c r="E8">
        <v>1</v>
      </c>
      <c r="F8">
        <v>0.82829870795128013</v>
      </c>
      <c r="G8">
        <v>0</v>
      </c>
      <c r="H8">
        <v>0.67229979967049225</v>
      </c>
      <c r="I8">
        <v>0.82003920120791296</v>
      </c>
      <c r="J8">
        <v>7.8116123155098902E-2</v>
      </c>
    </row>
    <row r="9" spans="1:10" x14ac:dyDescent="0.3">
      <c r="A9">
        <v>0.77651229209781703</v>
      </c>
      <c r="B9">
        <v>0.52775818406252961</v>
      </c>
      <c r="C9">
        <v>0.69115664925699349</v>
      </c>
      <c r="D9">
        <v>0.66796788973906285</v>
      </c>
      <c r="E9">
        <v>0.46401777983176457</v>
      </c>
      <c r="F9">
        <v>0.24958647144292861</v>
      </c>
      <c r="G9">
        <v>0.67229979967049225</v>
      </c>
      <c r="H9">
        <v>0</v>
      </c>
      <c r="I9">
        <v>0.19375093697027782</v>
      </c>
      <c r="J9">
        <v>0.5974009525561933</v>
      </c>
    </row>
    <row r="10" spans="1:10" x14ac:dyDescent="0.3">
      <c r="A10">
        <v>0.75119244929152684</v>
      </c>
      <c r="B10">
        <v>0.68789787435189931</v>
      </c>
      <c r="C10">
        <v>0.6490471065888328</v>
      </c>
      <c r="D10">
        <v>0.6202317787537297</v>
      </c>
      <c r="E10">
        <v>0.27736815299830753</v>
      </c>
      <c r="F10">
        <v>7.7132240440927896E-2</v>
      </c>
      <c r="G10">
        <v>0.82003920120791296</v>
      </c>
      <c r="H10">
        <v>0.19375093697027782</v>
      </c>
      <c r="I10">
        <v>0</v>
      </c>
      <c r="J10">
        <v>0.74941069362220014</v>
      </c>
    </row>
    <row r="11" spans="1:10" x14ac:dyDescent="0.3">
      <c r="A11">
        <v>0.7156510481037065</v>
      </c>
      <c r="B11">
        <v>7.787914272113057E-2</v>
      </c>
      <c r="C11">
        <v>0.71585639467916673</v>
      </c>
      <c r="D11">
        <v>0.71944497529219575</v>
      </c>
      <c r="E11">
        <v>0.94130534706788382</v>
      </c>
      <c r="F11">
        <v>0.76115389819903134</v>
      </c>
      <c r="G11">
        <v>7.8116123155098902E-2</v>
      </c>
      <c r="H11">
        <v>0.5974009525561933</v>
      </c>
      <c r="I11">
        <v>0.74941069362220014</v>
      </c>
      <c r="J11">
        <v>0</v>
      </c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361D8-EED9-4098-A32C-E4A67FC0D2C4}">
  <sheetPr>
    <tabColor theme="7"/>
  </sheetPr>
  <dimension ref="A1:X11"/>
  <sheetViews>
    <sheetView workbookViewId="0">
      <selection activeCell="J18" sqref="J18"/>
    </sheetView>
  </sheetViews>
  <sheetFormatPr defaultRowHeight="14.4" x14ac:dyDescent="0.3"/>
  <sheetData>
    <row r="1" spans="1:24" x14ac:dyDescent="0.3"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</row>
    <row r="2" spans="1:24" x14ac:dyDescent="0.3">
      <c r="A2" t="s">
        <v>10</v>
      </c>
      <c r="B2">
        <f>IF(PVL4_mtx_c!B2=0,0,PVL4_mtx_c!B2-3.28)</f>
        <v>0</v>
      </c>
      <c r="C2">
        <f>IF(PVL4_mtx_c!C2=0,0,PVL4_mtx_c!C2-3.28)</f>
        <v>47.877979827198025</v>
      </c>
      <c r="D2">
        <f>IF(PVL4_mtx_c!D2=0,0,PVL4_mtx_c!D2-3.28)</f>
        <v>4.7700000000000014</v>
      </c>
      <c r="E2">
        <f>IF(PVL4_mtx_c!E2=0,0,PVL4_mtx_c!E2-3.28)</f>
        <v>7.09</v>
      </c>
      <c r="F2">
        <f>IF(PVL4_mtx_c!F2=0,0,PVL4_mtx_c!F2-3.28)</f>
        <v>46.170307380237787</v>
      </c>
      <c r="G2">
        <f>IF(PVL4_mtx_c!G2=0,0,PVL4_mtx_c!G2-3.28)</f>
        <v>45.282753216843055</v>
      </c>
      <c r="H2">
        <f>IF(PVL4_mtx_c!H2=0,0,PVL4_mtx_c!H2-3.28)</f>
        <v>47.256617417472647</v>
      </c>
      <c r="I2">
        <f>IF(PVL4_mtx_c!I2=0,0,PVL4_mtx_c!I2-3.28)</f>
        <v>51.204387672066204</v>
      </c>
      <c r="J2">
        <f>IF(PVL4_mtx_c!J2=0,0,PVL4_mtx_c!J2-3.28)</f>
        <v>49.427807770765803</v>
      </c>
      <c r="K2">
        <f>IF(PVL4_mtx_c!K2=0,0,PVL4_mtx_c!K2-3.28)</f>
        <v>46.934026924754797</v>
      </c>
      <c r="M2">
        <v>0</v>
      </c>
      <c r="O2" s="1">
        <f>B2/$M$3</f>
        <v>0</v>
      </c>
      <c r="P2" s="1">
        <f t="shared" ref="P2:V11" si="0">C2/$M$3</f>
        <v>0.71581981916895576</v>
      </c>
      <c r="Q2" s="1">
        <f t="shared" si="0"/>
        <v>7.1315885711123281E-2</v>
      </c>
      <c r="R2" s="1">
        <f t="shared" si="0"/>
        <v>0.10600201880332576</v>
      </c>
      <c r="S2" s="1">
        <f t="shared" si="0"/>
        <v>0.69028854599087397</v>
      </c>
      <c r="T2" s="1">
        <f t="shared" si="0"/>
        <v>0.67701879519861186</v>
      </c>
      <c r="U2" s="1">
        <f t="shared" si="0"/>
        <v>0.70652987984041005</v>
      </c>
      <c r="V2" s="1">
        <f>I2/$M$3</f>
        <v>0.76555267486983691</v>
      </c>
      <c r="W2" s="1">
        <f t="shared" ref="W2:X11" si="1">J2/$M$3</f>
        <v>0.73899117189335517</v>
      </c>
      <c r="X2" s="1">
        <f>K2/$M$3</f>
        <v>0.70170685537287103</v>
      </c>
    </row>
    <row r="3" spans="1:24" x14ac:dyDescent="0.3">
      <c r="A3" t="s">
        <v>11</v>
      </c>
      <c r="B3">
        <f>IF(PVL4_mtx_c!B3=0,0,PVL4_mtx_c!B3-3.28)</f>
        <v>47.877979827198025</v>
      </c>
      <c r="C3">
        <f>IF(PVL4_mtx_c!C3=0,0,PVL4_mtx_c!C3-3.28)</f>
        <v>0</v>
      </c>
      <c r="D3">
        <f>IF(PVL4_mtx_c!D3=0,0,PVL4_mtx_c!D3-3.28)</f>
        <v>47.018120243205914</v>
      </c>
      <c r="E3">
        <f>IF(PVL4_mtx_c!E3=0,0,PVL4_mtx_c!E3-3.28)</f>
        <v>47.0297416014036</v>
      </c>
      <c r="F3">
        <f>IF(PVL4_mtx_c!F3=0,0,PVL4_mtx_c!F3-3.28)</f>
        <v>59.253214374442642</v>
      </c>
      <c r="G3">
        <f>IF(PVL4_mtx_c!G3=0,0,PVL4_mtx_c!G3-3.28)</f>
        <v>46.068947303868597</v>
      </c>
      <c r="H3">
        <f>IF(PVL4_mtx_c!H3=0,0,PVL4_mtx_c!H3-3.28)</f>
        <v>7.7621918114113555</v>
      </c>
      <c r="I3">
        <f>IF(PVL4_mtx_c!I3=0,0,PVL4_mtx_c!I3-3.28)</f>
        <v>33.750426678611198</v>
      </c>
      <c r="J3">
        <f>IF(PVL4_mtx_c!J3=0,0,PVL4_mtx_c!J3-3.28)</f>
        <v>44.986711095743821</v>
      </c>
      <c r="K3">
        <f>IF(PVL4_mtx_c!K3=0,0,PVL4_mtx_c!K3-3.28)</f>
        <v>2.1844304369257004</v>
      </c>
      <c r="M3">
        <f>MAX(B2:K11)</f>
        <v>66.885518597100102</v>
      </c>
      <c r="O3" s="1">
        <f t="shared" ref="O3:O11" si="2">B3/$M$3</f>
        <v>0.71581981916895576</v>
      </c>
      <c r="P3" s="1">
        <f t="shared" si="0"/>
        <v>0</v>
      </c>
      <c r="Q3" s="1">
        <f t="shared" si="0"/>
        <v>0.70296412780216433</v>
      </c>
      <c r="R3" s="1">
        <f t="shared" si="0"/>
        <v>0.70313787779231829</v>
      </c>
      <c r="S3" s="1">
        <f t="shared" si="0"/>
        <v>0.88589003445376036</v>
      </c>
      <c r="T3" s="1">
        <f t="shared" si="0"/>
        <v>0.68877311965502153</v>
      </c>
      <c r="U3" s="1">
        <f t="shared" si="0"/>
        <v>0.11605190442147359</v>
      </c>
      <c r="V3" s="1">
        <f t="shared" si="0"/>
        <v>0.50459991021246997</v>
      </c>
      <c r="W3" s="1">
        <f t="shared" si="1"/>
        <v>0.67259269329630755</v>
      </c>
      <c r="X3" s="1">
        <f t="shared" si="1"/>
        <v>3.2659243476665052E-2</v>
      </c>
    </row>
    <row r="4" spans="1:24" x14ac:dyDescent="0.3">
      <c r="A4" t="s">
        <v>12</v>
      </c>
      <c r="B4">
        <f>IF(PVL4_mtx_c!B4=0,0,PVL4_mtx_c!B4-3.28)</f>
        <v>4.7700000000000014</v>
      </c>
      <c r="C4">
        <f>IF(PVL4_mtx_c!C4=0,0,PVL4_mtx_c!C4-3.28)</f>
        <v>47.018120243205914</v>
      </c>
      <c r="D4">
        <f>IF(PVL4_mtx_c!D4=0,0,PVL4_mtx_c!D4-3.28)</f>
        <v>0</v>
      </c>
      <c r="E4">
        <f>IF(PVL4_mtx_c!E4=0,0,PVL4_mtx_c!E4-3.28)</f>
        <v>-0.92999999999999972</v>
      </c>
      <c r="F4">
        <f>IF(PVL4_mtx_c!F4=0,0,PVL4_mtx_c!F4-3.28)</f>
        <v>38.080160783053053</v>
      </c>
      <c r="G4">
        <f>IF(PVL4_mtx_c!G4=0,0,PVL4_mtx_c!G4-3.28)</f>
        <v>37.892288010262433</v>
      </c>
      <c r="H4">
        <f>IF(PVL4_mtx_c!H4=0,0,PVL4_mtx_c!H4-3.28)</f>
        <v>48.147317643447046</v>
      </c>
      <c r="I4">
        <f>IF(PVL4_mtx_c!I4=0,0,PVL4_mtx_c!I4-3.28)</f>
        <v>45.215364726950966</v>
      </c>
      <c r="J4">
        <f>IF(PVL4_mtx_c!J4=0,0,PVL4_mtx_c!J4-3.28)</f>
        <v>42.260726827752762</v>
      </c>
      <c r="K4">
        <f>IF(PVL4_mtx_c!K4=0,0,PVL4_mtx_c!K4-3.28)</f>
        <v>46.948435173714103</v>
      </c>
      <c r="O4" s="1">
        <f t="shared" si="2"/>
        <v>7.1315885711123281E-2</v>
      </c>
      <c r="P4" s="1">
        <f t="shared" si="0"/>
        <v>0.70296412780216433</v>
      </c>
      <c r="Q4" s="1">
        <f t="shared" si="0"/>
        <v>0</v>
      </c>
      <c r="R4" s="1">
        <f t="shared" si="0"/>
        <v>-1.3904355075753586E-2</v>
      </c>
      <c r="S4" s="1">
        <f t="shared" si="0"/>
        <v>0.56933341598855547</v>
      </c>
      <c r="T4" s="1">
        <f t="shared" si="0"/>
        <v>0.56652454529828966</v>
      </c>
      <c r="U4" s="1">
        <f t="shared" si="0"/>
        <v>0.71984666716084234</v>
      </c>
      <c r="V4" s="1">
        <f t="shared" si="0"/>
        <v>0.6760112753153017</v>
      </c>
      <c r="W4" s="1">
        <f t="shared" si="1"/>
        <v>0.63183672212096786</v>
      </c>
      <c r="X4" s="1">
        <f t="shared" si="1"/>
        <v>0.70192227194227963</v>
      </c>
    </row>
    <row r="5" spans="1:24" x14ac:dyDescent="0.3">
      <c r="A5" t="s">
        <v>13</v>
      </c>
      <c r="B5">
        <f>IF(PVL4_mtx_c!B5=0,0,PVL4_mtx_c!B5-3.28)</f>
        <v>7.09</v>
      </c>
      <c r="C5">
        <f>IF(PVL4_mtx_c!C5=0,0,PVL4_mtx_c!C5-3.28)</f>
        <v>47.0297416014036</v>
      </c>
      <c r="D5">
        <f>IF(PVL4_mtx_c!D5=0,0,PVL4_mtx_c!D5-3.28)</f>
        <v>-0.92999999999999972</v>
      </c>
      <c r="E5">
        <f>IF(PVL4_mtx_c!E5=0,0,PVL4_mtx_c!E5-3.28)</f>
        <v>0</v>
      </c>
      <c r="F5">
        <f>IF(PVL4_mtx_c!F5=0,0,PVL4_mtx_c!F5-3.28)</f>
        <v>35.853589153053669</v>
      </c>
      <c r="G5">
        <f>IF(PVL4_mtx_c!G5=0,0,PVL4_mtx_c!G5-3.28)</f>
        <v>35.7838310973207</v>
      </c>
      <c r="H5">
        <f>IF(PVL4_mtx_c!H5=0,0,PVL4_mtx_c!H5-3.28)</f>
        <v>48.612871379410102</v>
      </c>
      <c r="I5">
        <f>IF(PVL4_mtx_c!I5=0,0,PVL4_mtx_c!I5-3.28)</f>
        <v>43.588313389751924</v>
      </c>
      <c r="J5">
        <f>IF(PVL4_mtx_c!J5=0,0,PVL4_mtx_c!J5-3.28)</f>
        <v>40.238884406657299</v>
      </c>
      <c r="K5">
        <f>IF(PVL4_mtx_c!K5=0,0,PVL4_mtx_c!K5-3.28)</f>
        <v>47.200229793454781</v>
      </c>
      <c r="O5" s="1">
        <f t="shared" si="2"/>
        <v>0.10600201880332576</v>
      </c>
      <c r="P5" s="1">
        <f t="shared" si="0"/>
        <v>0.70313787779231829</v>
      </c>
      <c r="Q5" s="1">
        <f t="shared" si="0"/>
        <v>-1.3904355075753586E-2</v>
      </c>
      <c r="R5" s="1">
        <f t="shared" si="0"/>
        <v>0</v>
      </c>
      <c r="S5" s="1">
        <f t="shared" si="0"/>
        <v>0.53604412292929637</v>
      </c>
      <c r="T5" s="1">
        <f t="shared" si="0"/>
        <v>0.53500117585800033</v>
      </c>
      <c r="U5" s="1">
        <f t="shared" si="0"/>
        <v>0.72680712356049171</v>
      </c>
      <c r="V5" s="1">
        <f t="shared" si="0"/>
        <v>0.65168536185412407</v>
      </c>
      <c r="W5" s="1">
        <f t="shared" si="1"/>
        <v>0.60160831897028755</v>
      </c>
      <c r="X5" s="1">
        <f t="shared" si="1"/>
        <v>0.70568683301651491</v>
      </c>
    </row>
    <row r="6" spans="1:24" x14ac:dyDescent="0.3">
      <c r="A6" t="s">
        <v>14</v>
      </c>
      <c r="B6">
        <f>IF(PVL4_mtx_c!B6=0,0,PVL4_mtx_c!B6-3.28)</f>
        <v>46.170307380237787</v>
      </c>
      <c r="C6">
        <f>IF(PVL4_mtx_c!C6=0,0,PVL4_mtx_c!C6-3.28)</f>
        <v>59.253214374442642</v>
      </c>
      <c r="D6">
        <f>IF(PVL4_mtx_c!D6=0,0,PVL4_mtx_c!D6-3.28)</f>
        <v>38.080160783053053</v>
      </c>
      <c r="E6">
        <f>IF(PVL4_mtx_c!E6=0,0,PVL4_mtx_c!E6-3.28)</f>
        <v>35.853589153053669</v>
      </c>
      <c r="F6">
        <f>IF(PVL4_mtx_c!F6=0,0,PVL4_mtx_c!F6-3.28)</f>
        <v>0</v>
      </c>
      <c r="G6">
        <f>IF(PVL4_mtx_c!G6=0,0,PVL4_mtx_c!G6-3.28)</f>
        <v>11.805731669362281</v>
      </c>
      <c r="H6">
        <f>IF(PVL4_mtx_c!H6=0,0,PVL4_mtx_c!H6-3.28)</f>
        <v>66.885518597100102</v>
      </c>
      <c r="I6">
        <f>IF(PVL4_mtx_c!I6=0,0,PVL4_mtx_c!I6-3.28)</f>
        <v>29.278048160170776</v>
      </c>
      <c r="J6">
        <f>IF(PVL4_mtx_c!J6=0,0,PVL4_mtx_c!J6-3.28)</f>
        <v>16.181680297446054</v>
      </c>
      <c r="K6">
        <f>IF(PVL4_mtx_c!K6=0,0,PVL4_mtx_c!K6-3.28)</f>
        <v>62.76717783524137</v>
      </c>
      <c r="O6" s="1">
        <f t="shared" si="2"/>
        <v>0.69028854599087397</v>
      </c>
      <c r="P6" s="1">
        <f t="shared" si="0"/>
        <v>0.88589003445376036</v>
      </c>
      <c r="Q6" s="1">
        <f t="shared" si="0"/>
        <v>0.56933341598855547</v>
      </c>
      <c r="R6" s="1">
        <f t="shared" si="0"/>
        <v>0.53604412292929637</v>
      </c>
      <c r="S6" s="1">
        <f t="shared" si="0"/>
        <v>0</v>
      </c>
      <c r="T6" s="1">
        <f t="shared" si="0"/>
        <v>0.1765065430751423</v>
      </c>
      <c r="U6" s="1">
        <f t="shared" si="0"/>
        <v>1</v>
      </c>
      <c r="V6" s="1">
        <f t="shared" si="0"/>
        <v>0.43773373929465442</v>
      </c>
      <c r="W6" s="1">
        <f t="shared" si="1"/>
        <v>0.24193099847098484</v>
      </c>
      <c r="X6" s="1">
        <f t="shared" si="1"/>
        <v>0.93842701905824366</v>
      </c>
    </row>
    <row r="7" spans="1:24" x14ac:dyDescent="0.3">
      <c r="A7" t="s">
        <v>15</v>
      </c>
      <c r="B7">
        <f>IF(PVL4_mtx_c!B7=0,0,PVL4_mtx_c!B7-3.28)</f>
        <v>45.282753216843055</v>
      </c>
      <c r="C7">
        <f>IF(PVL4_mtx_c!C7=0,0,PVL4_mtx_c!C7-3.28)</f>
        <v>46.068947303868597</v>
      </c>
      <c r="D7">
        <f>IF(PVL4_mtx_c!D7=0,0,PVL4_mtx_c!D7-3.28)</f>
        <v>37.892288010262433</v>
      </c>
      <c r="E7">
        <f>IF(PVL4_mtx_c!E7=0,0,PVL4_mtx_c!E7-3.28)</f>
        <v>35.7838310973207</v>
      </c>
      <c r="F7">
        <f>IF(PVL4_mtx_c!F7=0,0,PVL4_mtx_c!F7-3.28)</f>
        <v>11.805731669362281</v>
      </c>
      <c r="G7">
        <f>IF(PVL4_mtx_c!G7=0,0,PVL4_mtx_c!G7-3.28)</f>
        <v>0</v>
      </c>
      <c r="H7">
        <f>IF(PVL4_mtx_c!H7=0,0,PVL4_mtx_c!H7-3.28)</f>
        <v>54.838008396709533</v>
      </c>
      <c r="I7">
        <f>IF(PVL4_mtx_c!I7=0,0,PVL4_mtx_c!I7-3.28)</f>
        <v>14.232364203613402</v>
      </c>
      <c r="J7">
        <f>IF(PVL4_mtx_c!J7=0,0,PVL4_mtx_c!J7-3.28)</f>
        <v>2.1320236510939234</v>
      </c>
      <c r="K7">
        <f>IF(PVL4_mtx_c!K7=0,0,PVL4_mtx_c!K7-3.28)</f>
        <v>50.126757999339368</v>
      </c>
      <c r="O7" s="1">
        <f t="shared" si="2"/>
        <v>0.67701879519861186</v>
      </c>
      <c r="P7" s="1">
        <f t="shared" si="0"/>
        <v>0.68877311965502153</v>
      </c>
      <c r="Q7" s="1">
        <f t="shared" si="0"/>
        <v>0.56652454529828966</v>
      </c>
      <c r="R7" s="1">
        <f t="shared" si="0"/>
        <v>0.53500117585800033</v>
      </c>
      <c r="S7" s="1">
        <f t="shared" si="0"/>
        <v>0.1765065430751423</v>
      </c>
      <c r="T7" s="1">
        <f t="shared" si="0"/>
        <v>0</v>
      </c>
      <c r="U7" s="1">
        <f t="shared" si="0"/>
        <v>0.81987864558602819</v>
      </c>
      <c r="V7" s="1">
        <f t="shared" si="0"/>
        <v>0.2127869305962212</v>
      </c>
      <c r="W7" s="1">
        <f t="shared" si="1"/>
        <v>3.1875713843779033E-2</v>
      </c>
      <c r="X7" s="1">
        <f t="shared" si="1"/>
        <v>0.74944112045073796</v>
      </c>
    </row>
    <row r="8" spans="1:24" x14ac:dyDescent="0.3">
      <c r="A8" t="s">
        <v>16</v>
      </c>
      <c r="B8">
        <f>IF(PVL4_mtx_c!B8=0,0,PVL4_mtx_c!B8-3.28)</f>
        <v>47.256617417472647</v>
      </c>
      <c r="C8">
        <f>IF(PVL4_mtx_c!C8=0,0,PVL4_mtx_c!C8-3.28)</f>
        <v>7.7621918114113555</v>
      </c>
      <c r="D8">
        <f>IF(PVL4_mtx_c!D8=0,0,PVL4_mtx_c!D8-3.28)</f>
        <v>48.147317643447046</v>
      </c>
      <c r="E8">
        <f>IF(PVL4_mtx_c!E8=0,0,PVL4_mtx_c!E8-3.28)</f>
        <v>48.612871379410102</v>
      </c>
      <c r="F8">
        <f>IF(PVL4_mtx_c!F8=0,0,PVL4_mtx_c!F8-3.28)</f>
        <v>66.885518597100102</v>
      </c>
      <c r="G8">
        <f>IF(PVL4_mtx_c!G8=0,0,PVL4_mtx_c!G8-3.28)</f>
        <v>54.838008396709533</v>
      </c>
      <c r="H8">
        <f>IF(PVL4_mtx_c!H8=0,0,PVL4_mtx_c!H8-3.28)</f>
        <v>0</v>
      </c>
      <c r="I8">
        <f>IF(PVL4_mtx_c!I8=0,0,PVL4_mtx_c!I8-3.28)</f>
        <v>43.892264096606596</v>
      </c>
      <c r="J8">
        <f>IF(PVL4_mtx_c!J8=0,0,PVL4_mtx_c!J8-3.28)</f>
        <v>54.258475822704931</v>
      </c>
      <c r="K8">
        <f>IF(PVL4_mtx_c!K8=0,0,PVL4_mtx_c!K8-3.28)</f>
        <v>2.2010582919724544</v>
      </c>
      <c r="O8" s="1">
        <f t="shared" si="2"/>
        <v>0.70652987984041005</v>
      </c>
      <c r="P8" s="1">
        <f t="shared" si="0"/>
        <v>0.11605190442147359</v>
      </c>
      <c r="Q8" s="1">
        <f t="shared" si="0"/>
        <v>0.71984666716084234</v>
      </c>
      <c r="R8" s="1">
        <f t="shared" si="0"/>
        <v>0.72680712356049171</v>
      </c>
      <c r="S8" s="1">
        <f t="shared" si="0"/>
        <v>1</v>
      </c>
      <c r="T8" s="1">
        <f t="shared" si="0"/>
        <v>0.81987864558602819</v>
      </c>
      <c r="U8" s="1">
        <f t="shared" si="0"/>
        <v>0</v>
      </c>
      <c r="V8" s="1">
        <f t="shared" si="0"/>
        <v>0.6562297043849129</v>
      </c>
      <c r="W8" s="1">
        <f t="shared" si="1"/>
        <v>0.81121410076137723</v>
      </c>
      <c r="X8" s="1">
        <f t="shared" si="1"/>
        <v>3.290784519786745E-2</v>
      </c>
    </row>
    <row r="9" spans="1:24" x14ac:dyDescent="0.3">
      <c r="A9" t="s">
        <v>17</v>
      </c>
      <c r="B9">
        <f>IF(PVL4_mtx_c!B9=0,0,PVL4_mtx_c!B9-3.28)</f>
        <v>51.204387672066204</v>
      </c>
      <c r="C9">
        <f>IF(PVL4_mtx_c!C9=0,0,PVL4_mtx_c!C9-3.28)</f>
        <v>33.750426678611198</v>
      </c>
      <c r="D9">
        <f>IF(PVL4_mtx_c!D9=0,0,PVL4_mtx_c!D9-3.28)</f>
        <v>45.215364726950966</v>
      </c>
      <c r="E9">
        <f>IF(PVL4_mtx_c!E9=0,0,PVL4_mtx_c!E9-3.28)</f>
        <v>43.588313389751924</v>
      </c>
      <c r="F9">
        <f>IF(PVL4_mtx_c!F9=0,0,PVL4_mtx_c!F9-3.28)</f>
        <v>29.278048160170776</v>
      </c>
      <c r="G9">
        <f>IF(PVL4_mtx_c!G9=0,0,PVL4_mtx_c!G9-3.28)</f>
        <v>14.232364203613402</v>
      </c>
      <c r="H9">
        <f>IF(PVL4_mtx_c!H9=0,0,PVL4_mtx_c!H9-3.28)</f>
        <v>43.892264096606596</v>
      </c>
      <c r="I9">
        <f>IF(PVL4_mtx_c!I9=0,0,PVL4_mtx_c!I9-3.28)</f>
        <v>0</v>
      </c>
      <c r="J9">
        <f>IF(PVL4_mtx_c!J9=0,0,PVL4_mtx_c!J9-3.28)</f>
        <v>10.314634971193598</v>
      </c>
      <c r="K9">
        <f>IF(PVL4_mtx_c!K9=0,0,PVL4_mtx_c!K9-3.28)</f>
        <v>38.636947646506897</v>
      </c>
      <c r="O9" s="1">
        <f t="shared" si="2"/>
        <v>0.76555267486983691</v>
      </c>
      <c r="P9" s="1">
        <f t="shared" si="0"/>
        <v>0.50459991021246997</v>
      </c>
      <c r="Q9" s="1">
        <f t="shared" si="0"/>
        <v>0.6760112753153017</v>
      </c>
      <c r="R9" s="1">
        <f t="shared" si="0"/>
        <v>0.65168536185412407</v>
      </c>
      <c r="S9" s="1">
        <f t="shared" si="0"/>
        <v>0.43773373929465442</v>
      </c>
      <c r="T9" s="1">
        <f t="shared" si="0"/>
        <v>0.2127869305962212</v>
      </c>
      <c r="U9" s="1">
        <f t="shared" si="0"/>
        <v>0.6562297043849129</v>
      </c>
      <c r="V9" s="1">
        <f t="shared" si="0"/>
        <v>0</v>
      </c>
      <c r="W9" s="1">
        <f t="shared" si="1"/>
        <v>0.15421327646909808</v>
      </c>
      <c r="X9" s="1">
        <f t="shared" si="1"/>
        <v>0.57765789152724079</v>
      </c>
    </row>
    <row r="10" spans="1:24" x14ac:dyDescent="0.3">
      <c r="A10" t="s">
        <v>18</v>
      </c>
      <c r="B10">
        <f>IF(PVL4_mtx_c!B10=0,0,PVL4_mtx_c!B10-3.28)</f>
        <v>49.427807770765803</v>
      </c>
      <c r="C10">
        <f>IF(PVL4_mtx_c!C10=0,0,PVL4_mtx_c!C10-3.28)</f>
        <v>44.986711095743821</v>
      </c>
      <c r="D10">
        <f>IF(PVL4_mtx_c!D10=0,0,PVL4_mtx_c!D10-3.28)</f>
        <v>42.260726827752762</v>
      </c>
      <c r="E10">
        <f>IF(PVL4_mtx_c!E10=0,0,PVL4_mtx_c!E10-3.28)</f>
        <v>40.238884406657299</v>
      </c>
      <c r="F10">
        <f>IF(PVL4_mtx_c!F10=0,0,PVL4_mtx_c!F10-3.28)</f>
        <v>16.181680297446054</v>
      </c>
      <c r="G10">
        <f>IF(PVL4_mtx_c!G10=0,0,PVL4_mtx_c!G10-3.28)</f>
        <v>2.1320236510939234</v>
      </c>
      <c r="H10">
        <f>IF(PVL4_mtx_c!H10=0,0,PVL4_mtx_c!H10-3.28)</f>
        <v>54.258475822704931</v>
      </c>
      <c r="I10">
        <f>IF(PVL4_mtx_c!I10=0,0,PVL4_mtx_c!I10-3.28)</f>
        <v>10.314634971193598</v>
      </c>
      <c r="J10">
        <f>IF(PVL4_mtx_c!J10=0,0,PVL4_mtx_c!J10-3.28)</f>
        <v>0</v>
      </c>
      <c r="K10">
        <f>IF(PVL4_mtx_c!K10=0,0,PVL4_mtx_c!K10-3.28)</f>
        <v>49.30278996021417</v>
      </c>
      <c r="O10" s="1">
        <f t="shared" si="2"/>
        <v>0.73899117189335517</v>
      </c>
      <c r="P10" s="1">
        <f t="shared" si="0"/>
        <v>0.67259269329630755</v>
      </c>
      <c r="Q10" s="1">
        <f t="shared" si="0"/>
        <v>0.63183672212096786</v>
      </c>
      <c r="R10" s="1">
        <f t="shared" si="0"/>
        <v>0.60160831897028755</v>
      </c>
      <c r="S10" s="1">
        <f t="shared" si="0"/>
        <v>0.24193099847098484</v>
      </c>
      <c r="T10" s="1">
        <f t="shared" si="0"/>
        <v>3.1875713843779033E-2</v>
      </c>
      <c r="U10" s="1">
        <f t="shared" si="0"/>
        <v>0.81121410076137723</v>
      </c>
      <c r="V10" s="1">
        <f t="shared" si="0"/>
        <v>0.15421327646909808</v>
      </c>
      <c r="W10" s="1">
        <f t="shared" si="1"/>
        <v>0</v>
      </c>
      <c r="X10" s="1">
        <f t="shared" si="1"/>
        <v>0.73712204067969578</v>
      </c>
    </row>
    <row r="11" spans="1:24" x14ac:dyDescent="0.3">
      <c r="A11" t="s">
        <v>19</v>
      </c>
      <c r="B11">
        <f>IF(PVL4_mtx_c!B11=0,0,PVL4_mtx_c!B11-3.28)</f>
        <v>46.934026924754797</v>
      </c>
      <c r="C11">
        <f>IF(PVL4_mtx_c!C11=0,0,PVL4_mtx_c!C11-3.28)</f>
        <v>2.1844304369257004</v>
      </c>
      <c r="D11">
        <f>IF(PVL4_mtx_c!D11=0,0,PVL4_mtx_c!D11-3.28)</f>
        <v>46.948435173714103</v>
      </c>
      <c r="E11">
        <f>IF(PVL4_mtx_c!E11=0,0,PVL4_mtx_c!E11-3.28)</f>
        <v>47.200229793454781</v>
      </c>
      <c r="F11">
        <f>IF(PVL4_mtx_c!F11=0,0,PVL4_mtx_c!F11-3.28)</f>
        <v>62.76717783524137</v>
      </c>
      <c r="G11">
        <f>IF(PVL4_mtx_c!G11=0,0,PVL4_mtx_c!G11-3.28)</f>
        <v>50.126757999339368</v>
      </c>
      <c r="H11">
        <f>IF(PVL4_mtx_c!H11=0,0,PVL4_mtx_c!H11-3.28)</f>
        <v>2.2010582919724544</v>
      </c>
      <c r="I11">
        <f>IF(PVL4_mtx_c!I11=0,0,PVL4_mtx_c!I11-3.28)</f>
        <v>38.636947646506897</v>
      </c>
      <c r="J11">
        <f>IF(PVL4_mtx_c!J11=0,0,PVL4_mtx_c!J11-3.28)</f>
        <v>49.30278996021417</v>
      </c>
      <c r="K11">
        <f>IF(PVL4_mtx_c!K11=0,0,PVL4_mtx_c!K11-3.28)</f>
        <v>0</v>
      </c>
      <c r="O11" s="1">
        <f t="shared" si="2"/>
        <v>0.70170685537287103</v>
      </c>
      <c r="P11" s="1">
        <f t="shared" si="0"/>
        <v>3.2659243476665052E-2</v>
      </c>
      <c r="Q11" s="1">
        <f t="shared" si="0"/>
        <v>0.70192227194227963</v>
      </c>
      <c r="R11" s="1">
        <f t="shared" si="0"/>
        <v>0.70568683301651491</v>
      </c>
      <c r="S11" s="1">
        <f t="shared" si="0"/>
        <v>0.93842701905824366</v>
      </c>
      <c r="T11" s="1">
        <f t="shared" si="0"/>
        <v>0.74944112045073796</v>
      </c>
      <c r="U11" s="1">
        <f t="shared" si="0"/>
        <v>3.290784519786745E-2</v>
      </c>
      <c r="V11" s="1">
        <f t="shared" si="0"/>
        <v>0.57765789152724079</v>
      </c>
      <c r="W11" s="1">
        <f t="shared" si="1"/>
        <v>0.73712204067969578</v>
      </c>
      <c r="X11" s="1">
        <f t="shared" si="1"/>
        <v>0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26EBB-4A4F-4329-B717-43B67048E67D}">
  <sheetPr>
    <tabColor theme="7"/>
  </sheetPr>
  <dimension ref="A1:K18"/>
  <sheetViews>
    <sheetView workbookViewId="0">
      <selection activeCell="J18" sqref="J18"/>
    </sheetView>
  </sheetViews>
  <sheetFormatPr defaultRowHeight="14.4" x14ac:dyDescent="0.3"/>
  <cols>
    <col min="1" max="1" width="6.88671875" customWidth="1"/>
  </cols>
  <sheetData>
    <row r="1" spans="1:11" x14ac:dyDescent="0.3"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</row>
    <row r="2" spans="1:11" x14ac:dyDescent="0.3">
      <c r="A2" t="s">
        <v>10</v>
      </c>
      <c r="B2" s="1">
        <v>0</v>
      </c>
      <c r="C2" s="1">
        <v>0.71581981916895576</v>
      </c>
      <c r="D2" s="1">
        <v>7.1315885711123281E-2</v>
      </c>
      <c r="E2" s="1">
        <v>0.10600201880332576</v>
      </c>
      <c r="F2" s="1">
        <v>0.69028854599087397</v>
      </c>
      <c r="G2" s="1">
        <v>0.67701879519861186</v>
      </c>
      <c r="H2" s="1">
        <v>0.70652987984041005</v>
      </c>
      <c r="I2" s="1">
        <v>0.76555267486983691</v>
      </c>
      <c r="J2" s="1">
        <v>0.73899117189335517</v>
      </c>
      <c r="K2" s="1">
        <v>0.70170685537287103</v>
      </c>
    </row>
    <row r="3" spans="1:11" x14ac:dyDescent="0.3">
      <c r="A3" t="s">
        <v>11</v>
      </c>
      <c r="B3" s="1">
        <v>0.71581981916895576</v>
      </c>
      <c r="C3">
        <v>0</v>
      </c>
      <c r="D3">
        <v>0.70296412780216433</v>
      </c>
      <c r="E3" s="1">
        <v>0.70313787779231829</v>
      </c>
      <c r="F3" s="1">
        <v>0.88589003445376036</v>
      </c>
      <c r="G3" s="1">
        <v>0.68877311965502153</v>
      </c>
      <c r="H3" s="1">
        <v>0.11605190442147359</v>
      </c>
      <c r="I3" s="1">
        <v>0.50459991021246997</v>
      </c>
      <c r="J3" s="1">
        <v>0.67259269329630755</v>
      </c>
      <c r="K3" s="1">
        <v>3.2659243476665052E-2</v>
      </c>
    </row>
    <row r="4" spans="1:11" x14ac:dyDescent="0.3">
      <c r="A4" t="s">
        <v>12</v>
      </c>
      <c r="B4" s="1">
        <v>7.1315885711123281E-2</v>
      </c>
      <c r="C4">
        <v>0.70296412780216433</v>
      </c>
      <c r="D4">
        <v>0</v>
      </c>
      <c r="E4" s="1">
        <v>-1.3904355075753586E-2</v>
      </c>
      <c r="F4" s="1">
        <v>0.56933341598855547</v>
      </c>
      <c r="G4" s="1">
        <v>0.56652454529828966</v>
      </c>
      <c r="H4" s="1">
        <v>0.71984666716084234</v>
      </c>
      <c r="I4" s="1">
        <v>0.6760112753153017</v>
      </c>
      <c r="J4" s="1">
        <v>0.63183672212096786</v>
      </c>
      <c r="K4" s="1">
        <v>0.70192227194227963</v>
      </c>
    </row>
    <row r="5" spans="1:11" x14ac:dyDescent="0.3">
      <c r="A5" t="s">
        <v>13</v>
      </c>
      <c r="B5" s="1">
        <v>0.10600201880332576</v>
      </c>
      <c r="C5" s="1">
        <v>0.70313787779231829</v>
      </c>
      <c r="D5" s="1">
        <v>-1.3904355075753586E-2</v>
      </c>
      <c r="E5" s="1">
        <v>0</v>
      </c>
      <c r="F5" s="1">
        <v>0.53604412292929637</v>
      </c>
      <c r="G5" s="1">
        <v>0.53500117585800033</v>
      </c>
      <c r="H5" s="1">
        <v>0.72680712356049171</v>
      </c>
      <c r="I5" s="1">
        <v>0.65168536185412407</v>
      </c>
      <c r="J5" s="1">
        <v>0.60160831897028755</v>
      </c>
      <c r="K5" s="1">
        <v>0.70568683301651491</v>
      </c>
    </row>
    <row r="6" spans="1:11" x14ac:dyDescent="0.3">
      <c r="A6" t="s">
        <v>14</v>
      </c>
      <c r="B6" s="1">
        <v>0.69028854599087397</v>
      </c>
      <c r="C6" s="1">
        <v>0.88589003445376036</v>
      </c>
      <c r="D6" s="1">
        <v>0.56933341598855547</v>
      </c>
      <c r="E6" s="1">
        <v>0.53604412292929637</v>
      </c>
      <c r="F6" s="1">
        <v>0</v>
      </c>
      <c r="G6" s="1">
        <v>0.1765065430751423</v>
      </c>
      <c r="H6" s="1">
        <v>1</v>
      </c>
      <c r="I6" s="1">
        <v>0.43773373929465442</v>
      </c>
      <c r="J6" s="1">
        <v>0.24193099847098484</v>
      </c>
      <c r="K6" s="1">
        <v>0.93842701905824366</v>
      </c>
    </row>
    <row r="7" spans="1:11" x14ac:dyDescent="0.3">
      <c r="A7" t="s">
        <v>15</v>
      </c>
      <c r="B7" s="1">
        <v>0.67701879519861186</v>
      </c>
      <c r="C7" s="1">
        <v>0.68877311965502153</v>
      </c>
      <c r="D7" s="1">
        <v>0.56652454529828966</v>
      </c>
      <c r="E7" s="1">
        <v>0.53500117585800033</v>
      </c>
      <c r="F7" s="1">
        <v>0.1765065430751423</v>
      </c>
      <c r="G7" s="1">
        <v>0</v>
      </c>
      <c r="H7" s="1">
        <v>0.81987864558602819</v>
      </c>
      <c r="I7" s="1">
        <v>0.2127869305962212</v>
      </c>
      <c r="J7" s="1">
        <v>3.1875713843779033E-2</v>
      </c>
      <c r="K7" s="1">
        <v>0.74944112045073796</v>
      </c>
    </row>
    <row r="8" spans="1:11" x14ac:dyDescent="0.3">
      <c r="A8" t="s">
        <v>16</v>
      </c>
      <c r="B8" s="1">
        <v>0.70652987984041005</v>
      </c>
      <c r="C8" s="1">
        <v>0.11605190442147359</v>
      </c>
      <c r="D8" s="1">
        <v>0.71984666716084234</v>
      </c>
      <c r="E8" s="1">
        <v>0.72680712356049171</v>
      </c>
      <c r="F8" s="1">
        <v>1</v>
      </c>
      <c r="G8" s="1">
        <v>0.81987864558602819</v>
      </c>
      <c r="H8" s="1">
        <v>0</v>
      </c>
      <c r="I8" s="1">
        <v>0.6562297043849129</v>
      </c>
      <c r="J8" s="1">
        <v>0.81121410076137723</v>
      </c>
      <c r="K8" s="1">
        <v>3.290784519786745E-2</v>
      </c>
    </row>
    <row r="9" spans="1:11" x14ac:dyDescent="0.3">
      <c r="A9" t="s">
        <v>17</v>
      </c>
      <c r="B9" s="1">
        <v>0.76555267486983691</v>
      </c>
      <c r="C9" s="1">
        <v>0.50459991021246997</v>
      </c>
      <c r="D9" s="1">
        <v>0.6760112753153017</v>
      </c>
      <c r="E9" s="1">
        <v>0.65168536185412407</v>
      </c>
      <c r="F9" s="1">
        <v>0.43773373929465442</v>
      </c>
      <c r="G9" s="1">
        <v>0.2127869305962212</v>
      </c>
      <c r="H9" s="1">
        <v>0.6562297043849129</v>
      </c>
      <c r="I9" s="1">
        <v>0</v>
      </c>
      <c r="J9" s="1">
        <v>0.15421327646909808</v>
      </c>
      <c r="K9" s="1">
        <v>0.57765789152724079</v>
      </c>
    </row>
    <row r="10" spans="1:11" x14ac:dyDescent="0.3">
      <c r="A10" t="s">
        <v>18</v>
      </c>
      <c r="B10" s="1">
        <v>0.73899117189335517</v>
      </c>
      <c r="C10" s="1">
        <v>0.67259269329630755</v>
      </c>
      <c r="D10" s="1">
        <v>0.63183672212096786</v>
      </c>
      <c r="E10" s="1">
        <v>0.60160831897028755</v>
      </c>
      <c r="F10" s="1">
        <v>0.24193099847098484</v>
      </c>
      <c r="G10" s="1">
        <v>3.1875713843779033E-2</v>
      </c>
      <c r="H10" s="1">
        <v>0.81121410076137723</v>
      </c>
      <c r="I10" s="1">
        <v>0.15421327646909808</v>
      </c>
      <c r="J10" s="1">
        <v>0</v>
      </c>
      <c r="K10" s="1">
        <v>0.73712204067969578</v>
      </c>
    </row>
    <row r="11" spans="1:11" x14ac:dyDescent="0.3">
      <c r="A11" t="s">
        <v>19</v>
      </c>
      <c r="B11" s="1">
        <v>0.70170685537287103</v>
      </c>
      <c r="C11" s="1">
        <v>3.2659243476665052E-2</v>
      </c>
      <c r="D11" s="1">
        <v>0.70192227194227963</v>
      </c>
      <c r="E11" s="1">
        <v>0.70568683301651491</v>
      </c>
      <c r="F11" s="1">
        <v>0.93842701905824366</v>
      </c>
      <c r="G11" s="1">
        <v>0.74944112045073796</v>
      </c>
      <c r="H11" s="1">
        <v>3.290784519786745E-2</v>
      </c>
      <c r="I11" s="1">
        <v>0.57765789152724079</v>
      </c>
      <c r="J11" s="1">
        <v>0.73712204067969578</v>
      </c>
      <c r="K11" s="1">
        <v>0</v>
      </c>
    </row>
    <row r="18" spans="3:4" x14ac:dyDescent="0.3">
      <c r="C18" s="1"/>
      <c r="D18" s="1"/>
    </row>
  </sheetData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E8993-2C18-42B3-AFAD-DCE9F1E6C867}">
  <sheetPr>
    <tabColor rgb="FF00B050"/>
  </sheetPr>
  <dimension ref="A1:G46"/>
  <sheetViews>
    <sheetView zoomScale="115" zoomScaleNormal="115" workbookViewId="0">
      <pane xSplit="2" ySplit="1" topLeftCell="C2" activePane="bottomRight" state="frozen"/>
      <selection activeCell="Q36" sqref="Q36"/>
      <selection pane="topRight" activeCell="Q36" sqref="Q36"/>
      <selection pane="bottomLeft" activeCell="Q36" sqref="Q36"/>
      <selection pane="bottomRight" activeCell="G7" sqref="G7"/>
    </sheetView>
  </sheetViews>
  <sheetFormatPr defaultRowHeight="14.4" x14ac:dyDescent="0.3"/>
  <cols>
    <col min="3" max="5" width="8.88671875" customWidth="1"/>
    <col min="8" max="8" width="16.6640625" bestFit="1" customWidth="1"/>
  </cols>
  <sheetData>
    <row r="1" spans="1:7" x14ac:dyDescent="0.3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27</v>
      </c>
      <c r="G1" t="s">
        <v>41</v>
      </c>
    </row>
    <row r="2" spans="1:7" x14ac:dyDescent="0.3">
      <c r="A2" t="s">
        <v>10</v>
      </c>
      <c r="B2" t="s">
        <v>11</v>
      </c>
      <c r="C2">
        <v>3.02</v>
      </c>
      <c r="D2">
        <v>6.51</v>
      </c>
      <c r="E2">
        <f t="shared" ref="E2:E46" si="0">SQRT(D2^2+C2^2)</f>
        <v>7.1763848837698223</v>
      </c>
      <c r="F2">
        <v>7.1763848837698223</v>
      </c>
      <c r="G2">
        <f>F2/MAX($F$2:$F$46)</f>
        <v>0.17233653497773446</v>
      </c>
    </row>
    <row r="3" spans="1:7" x14ac:dyDescent="0.3">
      <c r="A3" t="s">
        <v>10</v>
      </c>
      <c r="B3" t="s">
        <v>12</v>
      </c>
      <c r="C3">
        <v>7.9</v>
      </c>
      <c r="D3">
        <v>3.69</v>
      </c>
      <c r="E3">
        <f t="shared" si="0"/>
        <v>8.7192946962469389</v>
      </c>
      <c r="F3">
        <v>8.7192946962469389</v>
      </c>
      <c r="G3">
        <f t="shared" ref="G3:G46" si="1">F3/MAX($F$2:$F$46)</f>
        <v>0.20938857931092145</v>
      </c>
    </row>
    <row r="4" spans="1:7" x14ac:dyDescent="0.3">
      <c r="A4" t="s">
        <v>10</v>
      </c>
      <c r="B4" t="s">
        <v>13</v>
      </c>
      <c r="C4">
        <v>8</v>
      </c>
      <c r="D4">
        <v>7.38</v>
      </c>
      <c r="E4">
        <f t="shared" si="0"/>
        <v>10.88413524355518</v>
      </c>
      <c r="F4">
        <v>10.88413524355518</v>
      </c>
      <c r="G4">
        <f t="shared" si="1"/>
        <v>0.26137591342759742</v>
      </c>
    </row>
    <row r="5" spans="1:7" x14ac:dyDescent="0.3">
      <c r="A5" t="s">
        <v>10</v>
      </c>
      <c r="B5" t="s">
        <v>14</v>
      </c>
      <c r="C5">
        <v>26.67</v>
      </c>
      <c r="D5">
        <v>2.08</v>
      </c>
      <c r="E5">
        <f t="shared" si="0"/>
        <v>26.750986897682861</v>
      </c>
      <c r="F5">
        <v>26.750986897682861</v>
      </c>
      <c r="G5">
        <f t="shared" si="1"/>
        <v>0.64240874254220215</v>
      </c>
    </row>
    <row r="6" spans="1:7" x14ac:dyDescent="0.3">
      <c r="A6" t="s">
        <v>10</v>
      </c>
      <c r="B6" t="s">
        <v>15</v>
      </c>
      <c r="C6">
        <v>15.67</v>
      </c>
      <c r="D6">
        <v>5.38</v>
      </c>
      <c r="E6">
        <f t="shared" si="0"/>
        <v>16.567839328047576</v>
      </c>
      <c r="F6">
        <v>16.567839328047576</v>
      </c>
      <c r="G6">
        <f t="shared" si="1"/>
        <v>0.39786662339153545</v>
      </c>
    </row>
    <row r="7" spans="1:7" x14ac:dyDescent="0.3">
      <c r="A7" t="s">
        <v>10</v>
      </c>
      <c r="B7" t="s">
        <v>16</v>
      </c>
      <c r="C7">
        <v>8.76</v>
      </c>
      <c r="D7">
        <v>3.64</v>
      </c>
      <c r="E7">
        <f t="shared" si="0"/>
        <v>9.4861583372828004</v>
      </c>
      <c r="F7">
        <v>9.4861583372828004</v>
      </c>
      <c r="G7">
        <f t="shared" si="1"/>
        <v>0.2278043450254138</v>
      </c>
    </row>
    <row r="8" spans="1:7" x14ac:dyDescent="0.3">
      <c r="A8" t="s">
        <v>10</v>
      </c>
      <c r="B8" t="s">
        <v>17</v>
      </c>
      <c r="C8">
        <v>19.309999999999999</v>
      </c>
      <c r="D8">
        <v>9.85</v>
      </c>
      <c r="E8">
        <f t="shared" si="0"/>
        <v>21.677144645916812</v>
      </c>
      <c r="F8">
        <v>21.677144645916812</v>
      </c>
      <c r="G8">
        <f t="shared" si="1"/>
        <v>0.52056349498997612</v>
      </c>
    </row>
    <row r="9" spans="1:7" x14ac:dyDescent="0.3">
      <c r="A9" t="s">
        <v>10</v>
      </c>
      <c r="B9" t="s">
        <v>18</v>
      </c>
      <c r="C9">
        <v>32.46</v>
      </c>
      <c r="D9">
        <v>2.16</v>
      </c>
      <c r="E9">
        <f t="shared" si="0"/>
        <v>32.531787531582097</v>
      </c>
      <c r="F9">
        <v>32.531787531582097</v>
      </c>
      <c r="G9">
        <f t="shared" si="1"/>
        <v>0.78123116731158671</v>
      </c>
    </row>
    <row r="10" spans="1:7" x14ac:dyDescent="0.3">
      <c r="A10" t="s">
        <v>10</v>
      </c>
      <c r="B10" t="s">
        <v>19</v>
      </c>
      <c r="C10">
        <v>23.67</v>
      </c>
      <c r="D10">
        <v>9.75</v>
      </c>
      <c r="E10">
        <f t="shared" si="0"/>
        <v>25.599441400155591</v>
      </c>
      <c r="F10">
        <v>25.599441400155591</v>
      </c>
      <c r="G10">
        <f t="shared" si="1"/>
        <v>0.61475507511392846</v>
      </c>
    </row>
    <row r="11" spans="1:7" x14ac:dyDescent="0.3">
      <c r="A11" t="s">
        <v>11</v>
      </c>
      <c r="B11" t="s">
        <v>12</v>
      </c>
      <c r="C11">
        <v>2.82</v>
      </c>
      <c r="D11">
        <v>4.96</v>
      </c>
      <c r="E11">
        <f t="shared" si="0"/>
        <v>5.7056112731240285</v>
      </c>
      <c r="F11">
        <v>5.7056112731240285</v>
      </c>
      <c r="G11">
        <f t="shared" si="1"/>
        <v>0.13701679782586665</v>
      </c>
    </row>
    <row r="12" spans="1:7" x14ac:dyDescent="0.3">
      <c r="A12" t="s">
        <v>11</v>
      </c>
      <c r="B12" t="s">
        <v>13</v>
      </c>
      <c r="C12">
        <v>4.9800000000000004</v>
      </c>
      <c r="D12">
        <v>0.89</v>
      </c>
      <c r="E12">
        <f t="shared" si="0"/>
        <v>5.0589030431507584</v>
      </c>
      <c r="F12">
        <v>5.0589030431507584</v>
      </c>
      <c r="G12">
        <f t="shared" si="1"/>
        <v>0.12148649150865157</v>
      </c>
    </row>
    <row r="13" spans="1:7" x14ac:dyDescent="0.3">
      <c r="A13" t="s">
        <v>11</v>
      </c>
      <c r="B13" t="s">
        <v>14</v>
      </c>
      <c r="C13">
        <v>23.66</v>
      </c>
      <c r="D13">
        <v>4.43</v>
      </c>
      <c r="E13">
        <f t="shared" si="0"/>
        <v>24.071154936977994</v>
      </c>
      <c r="F13">
        <v>24.071154936977994</v>
      </c>
      <c r="G13">
        <f t="shared" si="1"/>
        <v>0.5780542016542195</v>
      </c>
    </row>
    <row r="14" spans="1:7" x14ac:dyDescent="0.3">
      <c r="A14" t="s">
        <v>11</v>
      </c>
      <c r="B14" t="s">
        <v>15</v>
      </c>
      <c r="C14">
        <v>12.65</v>
      </c>
      <c r="D14">
        <v>1.1299999999999999</v>
      </c>
      <c r="E14">
        <f t="shared" si="0"/>
        <v>12.700370073348257</v>
      </c>
      <c r="F14">
        <v>12.700370073348257</v>
      </c>
      <c r="G14">
        <f t="shared" si="1"/>
        <v>0.30499169245030644</v>
      </c>
    </row>
    <row r="15" spans="1:7" x14ac:dyDescent="0.3">
      <c r="A15" t="s">
        <v>11</v>
      </c>
      <c r="B15" t="s">
        <v>16</v>
      </c>
      <c r="C15">
        <v>11.78</v>
      </c>
      <c r="D15">
        <v>10.119999999999999</v>
      </c>
      <c r="E15">
        <f t="shared" si="0"/>
        <v>15.53006117180483</v>
      </c>
      <c r="F15">
        <v>15.53006117180483</v>
      </c>
      <c r="G15">
        <f t="shared" si="1"/>
        <v>0.37294500973520284</v>
      </c>
    </row>
    <row r="16" spans="1:7" x14ac:dyDescent="0.3">
      <c r="A16" t="s">
        <v>11</v>
      </c>
      <c r="B16" t="s">
        <v>17</v>
      </c>
      <c r="C16">
        <v>16.29</v>
      </c>
      <c r="D16">
        <v>3.34</v>
      </c>
      <c r="E16">
        <f t="shared" si="0"/>
        <v>16.628881501772749</v>
      </c>
      <c r="F16">
        <v>16.628881501772749</v>
      </c>
      <c r="G16">
        <f t="shared" si="1"/>
        <v>0.39933251420950105</v>
      </c>
    </row>
    <row r="17" spans="1:7" x14ac:dyDescent="0.3">
      <c r="A17" t="s">
        <v>11</v>
      </c>
      <c r="B17" t="s">
        <v>18</v>
      </c>
      <c r="C17">
        <v>29.44</v>
      </c>
      <c r="D17">
        <v>4.3600000000000003</v>
      </c>
      <c r="E17">
        <f t="shared" si="0"/>
        <v>29.761102130129522</v>
      </c>
      <c r="F17">
        <v>29.761102130129522</v>
      </c>
      <c r="G17">
        <f t="shared" si="1"/>
        <v>0.71469483609005124</v>
      </c>
    </row>
    <row r="18" spans="1:7" x14ac:dyDescent="0.3">
      <c r="A18" t="s">
        <v>11</v>
      </c>
      <c r="B18" t="s">
        <v>19</v>
      </c>
      <c r="C18">
        <v>20.65</v>
      </c>
      <c r="D18">
        <v>3.28</v>
      </c>
      <c r="E18">
        <f t="shared" si="0"/>
        <v>20.90887132295763</v>
      </c>
      <c r="F18">
        <v>20.90887132295763</v>
      </c>
      <c r="G18">
        <f t="shared" si="1"/>
        <v>0.50211387661818896</v>
      </c>
    </row>
    <row r="19" spans="1:7" x14ac:dyDescent="0.3">
      <c r="A19" t="s">
        <v>12</v>
      </c>
      <c r="B19" t="s">
        <v>13</v>
      </c>
      <c r="C19">
        <v>0.11</v>
      </c>
      <c r="D19">
        <v>3.69</v>
      </c>
      <c r="E19">
        <f t="shared" si="0"/>
        <v>3.6916392023056641</v>
      </c>
      <c r="F19">
        <v>3.6916392023056641</v>
      </c>
      <c r="G19">
        <f t="shared" si="1"/>
        <v>8.8652478764366632E-2</v>
      </c>
    </row>
    <row r="20" spans="1:7" x14ac:dyDescent="0.3">
      <c r="A20" t="s">
        <v>12</v>
      </c>
      <c r="B20" t="s">
        <v>14</v>
      </c>
      <c r="C20">
        <v>18.77</v>
      </c>
      <c r="D20">
        <v>1.64</v>
      </c>
      <c r="E20">
        <f t="shared" si="0"/>
        <v>18.841510024411523</v>
      </c>
      <c r="F20">
        <v>18.841510024411523</v>
      </c>
      <c r="G20">
        <f t="shared" si="1"/>
        <v>0.45246744760010826</v>
      </c>
    </row>
    <row r="21" spans="1:7" x14ac:dyDescent="0.3">
      <c r="A21" t="s">
        <v>12</v>
      </c>
      <c r="B21" t="s">
        <v>15</v>
      </c>
      <c r="C21">
        <v>7.74</v>
      </c>
      <c r="D21">
        <v>1.69</v>
      </c>
      <c r="E21">
        <f t="shared" si="0"/>
        <v>7.922354448016069</v>
      </c>
      <c r="F21">
        <v>7.922354448016069</v>
      </c>
      <c r="G21">
        <f t="shared" si="1"/>
        <v>0.1902505420973632</v>
      </c>
    </row>
    <row r="22" spans="1:7" x14ac:dyDescent="0.3">
      <c r="A22" t="s">
        <v>12</v>
      </c>
      <c r="B22" t="s">
        <v>16</v>
      </c>
      <c r="C22">
        <v>16.690000000000001</v>
      </c>
      <c r="D22">
        <v>7.3</v>
      </c>
      <c r="E22">
        <f t="shared" si="0"/>
        <v>18.216643488853812</v>
      </c>
      <c r="F22">
        <v>18.216643488853812</v>
      </c>
      <c r="G22">
        <f t="shared" si="1"/>
        <v>0.43746165634090423</v>
      </c>
    </row>
    <row r="23" spans="1:7" x14ac:dyDescent="0.3">
      <c r="A23" t="s">
        <v>12</v>
      </c>
      <c r="B23" t="s">
        <v>17</v>
      </c>
      <c r="C23">
        <v>11.39</v>
      </c>
      <c r="D23">
        <v>6.18</v>
      </c>
      <c r="E23">
        <f t="shared" si="0"/>
        <v>12.958568593791522</v>
      </c>
      <c r="F23">
        <v>12.958568593791522</v>
      </c>
      <c r="G23">
        <f t="shared" si="1"/>
        <v>0.31119217348222616</v>
      </c>
    </row>
    <row r="24" spans="1:7" x14ac:dyDescent="0.3">
      <c r="A24" t="s">
        <v>12</v>
      </c>
      <c r="B24" t="s">
        <v>18</v>
      </c>
      <c r="C24">
        <v>24.54</v>
      </c>
      <c r="D24">
        <v>1.53</v>
      </c>
      <c r="E24">
        <f t="shared" si="0"/>
        <v>24.587649338641544</v>
      </c>
      <c r="F24">
        <v>24.587649338641544</v>
      </c>
      <c r="G24">
        <f t="shared" si="1"/>
        <v>0.59045750177813039</v>
      </c>
    </row>
    <row r="25" spans="1:7" x14ac:dyDescent="0.3">
      <c r="A25" t="s">
        <v>12</v>
      </c>
      <c r="B25" t="s">
        <v>19</v>
      </c>
      <c r="C25">
        <v>15.75</v>
      </c>
      <c r="D25">
        <v>6.1</v>
      </c>
      <c r="E25">
        <f t="shared" si="0"/>
        <v>16.890011841322078</v>
      </c>
      <c r="F25">
        <v>16.890011841322078</v>
      </c>
      <c r="G25">
        <f t="shared" si="1"/>
        <v>0.40560340110093135</v>
      </c>
    </row>
    <row r="26" spans="1:7" x14ac:dyDescent="0.3">
      <c r="A26" t="s">
        <v>13</v>
      </c>
      <c r="B26" t="s">
        <v>14</v>
      </c>
      <c r="C26">
        <v>18.79</v>
      </c>
      <c r="D26">
        <v>5.31</v>
      </c>
      <c r="E26">
        <f t="shared" si="0"/>
        <v>19.52588538325471</v>
      </c>
      <c r="F26">
        <v>19.52588538325471</v>
      </c>
      <c r="G26">
        <f t="shared" si="1"/>
        <v>0.4689023071954902</v>
      </c>
    </row>
    <row r="27" spans="1:7" x14ac:dyDescent="0.3">
      <c r="A27" t="s">
        <v>13</v>
      </c>
      <c r="B27" t="s">
        <v>15</v>
      </c>
      <c r="C27">
        <v>7.69</v>
      </c>
      <c r="D27">
        <v>2.06</v>
      </c>
      <c r="E27">
        <f t="shared" si="0"/>
        <v>7.9611368534902107</v>
      </c>
      <c r="F27">
        <v>7.9611368534902107</v>
      </c>
      <c r="G27">
        <f t="shared" si="1"/>
        <v>0.19118187806746018</v>
      </c>
    </row>
    <row r="28" spans="1:7" x14ac:dyDescent="0.3">
      <c r="A28" t="s">
        <v>13</v>
      </c>
      <c r="B28" t="s">
        <v>16</v>
      </c>
      <c r="C28">
        <v>16.77</v>
      </c>
      <c r="D28">
        <v>11</v>
      </c>
      <c r="E28">
        <f t="shared" si="0"/>
        <v>20.055744812895881</v>
      </c>
      <c r="F28">
        <v>20.055744812895881</v>
      </c>
      <c r="G28">
        <f t="shared" si="1"/>
        <v>0.48162656036872165</v>
      </c>
    </row>
    <row r="29" spans="1:7" x14ac:dyDescent="0.3">
      <c r="A29" t="s">
        <v>13</v>
      </c>
      <c r="B29" t="s">
        <v>17</v>
      </c>
      <c r="C29">
        <v>11.33</v>
      </c>
      <c r="D29">
        <v>2.48</v>
      </c>
      <c r="E29">
        <f t="shared" si="0"/>
        <v>11.598245556979727</v>
      </c>
      <c r="F29">
        <v>11.598245556979727</v>
      </c>
      <c r="G29">
        <f t="shared" si="1"/>
        <v>0.27852483994152788</v>
      </c>
    </row>
    <row r="30" spans="1:7" x14ac:dyDescent="0.3">
      <c r="A30" t="s">
        <v>13</v>
      </c>
      <c r="B30" t="s">
        <v>18</v>
      </c>
      <c r="C30">
        <v>24.47</v>
      </c>
      <c r="D30">
        <v>5.23</v>
      </c>
      <c r="E30">
        <f t="shared" si="0"/>
        <v>25.022665725297934</v>
      </c>
      <c r="F30">
        <v>25.022665725297934</v>
      </c>
      <c r="G30">
        <f t="shared" si="1"/>
        <v>0.60090415673729347</v>
      </c>
    </row>
    <row r="31" spans="1:7" x14ac:dyDescent="0.3">
      <c r="A31" t="s">
        <v>13</v>
      </c>
      <c r="B31" t="s">
        <v>19</v>
      </c>
      <c r="C31">
        <v>15.69</v>
      </c>
      <c r="D31">
        <v>2.4</v>
      </c>
      <c r="E31">
        <f t="shared" si="0"/>
        <v>15.87249507796427</v>
      </c>
      <c r="F31">
        <v>15.87249507796427</v>
      </c>
      <c r="G31">
        <f t="shared" si="1"/>
        <v>0.38116835251882014</v>
      </c>
    </row>
    <row r="32" spans="1:7" x14ac:dyDescent="0.3">
      <c r="A32" t="s">
        <v>14</v>
      </c>
      <c r="B32" t="s">
        <v>15</v>
      </c>
      <c r="C32">
        <v>11.01</v>
      </c>
      <c r="D32">
        <v>3.28</v>
      </c>
      <c r="E32">
        <f t="shared" si="0"/>
        <v>11.4881895875721</v>
      </c>
      <c r="F32">
        <v>11.4881895875721</v>
      </c>
      <c r="G32">
        <f t="shared" si="1"/>
        <v>0.27588191251657596</v>
      </c>
    </row>
    <row r="33" spans="1:7" x14ac:dyDescent="0.3">
      <c r="A33" t="s">
        <v>14</v>
      </c>
      <c r="B33" t="s">
        <v>16</v>
      </c>
      <c r="C33">
        <v>35.46</v>
      </c>
      <c r="D33">
        <v>5.74</v>
      </c>
      <c r="E33">
        <f t="shared" si="0"/>
        <v>35.921570121585724</v>
      </c>
      <c r="F33">
        <v>35.921570121585724</v>
      </c>
      <c r="G33">
        <f t="shared" si="1"/>
        <v>0.86263474241947569</v>
      </c>
    </row>
    <row r="34" spans="1:7" x14ac:dyDescent="0.3">
      <c r="A34" t="s">
        <v>14</v>
      </c>
      <c r="B34" t="s">
        <v>17</v>
      </c>
      <c r="C34">
        <v>7.38</v>
      </c>
      <c r="D34">
        <v>7.73</v>
      </c>
      <c r="E34">
        <f t="shared" si="0"/>
        <v>10.687249412266937</v>
      </c>
      <c r="F34">
        <v>10.687249412266937</v>
      </c>
      <c r="G34">
        <f t="shared" si="1"/>
        <v>0.25664781947779203</v>
      </c>
    </row>
    <row r="35" spans="1:7" x14ac:dyDescent="0.3">
      <c r="A35" t="s">
        <v>14</v>
      </c>
      <c r="B35" t="s">
        <v>18</v>
      </c>
      <c r="C35">
        <v>5.77</v>
      </c>
      <c r="D35">
        <v>0.03</v>
      </c>
      <c r="E35">
        <f t="shared" si="0"/>
        <v>5.7700779890743243</v>
      </c>
      <c r="F35">
        <v>5.7700779890743243</v>
      </c>
      <c r="G35">
        <f t="shared" si="1"/>
        <v>0.13856492695051745</v>
      </c>
    </row>
    <row r="36" spans="1:7" x14ac:dyDescent="0.3">
      <c r="A36" t="s">
        <v>14</v>
      </c>
      <c r="B36" t="s">
        <v>19</v>
      </c>
      <c r="C36">
        <v>3.01</v>
      </c>
      <c r="D36">
        <v>7.66</v>
      </c>
      <c r="E36">
        <f t="shared" si="0"/>
        <v>8.2301701075980205</v>
      </c>
      <c r="F36">
        <v>8.2301701075980205</v>
      </c>
      <c r="G36">
        <f t="shared" si="1"/>
        <v>0.19764254866381883</v>
      </c>
    </row>
    <row r="37" spans="1:7" x14ac:dyDescent="0.3">
      <c r="A37" t="s">
        <v>15</v>
      </c>
      <c r="B37" t="s">
        <v>16</v>
      </c>
      <c r="C37">
        <v>24.43</v>
      </c>
      <c r="D37">
        <v>9.02</v>
      </c>
      <c r="E37">
        <f t="shared" si="0"/>
        <v>26.041991091312507</v>
      </c>
      <c r="F37">
        <v>26.041991091312507</v>
      </c>
      <c r="G37">
        <f t="shared" si="1"/>
        <v>0.62538263781641623</v>
      </c>
    </row>
    <row r="38" spans="1:7" x14ac:dyDescent="0.3">
      <c r="A38" t="s">
        <v>15</v>
      </c>
      <c r="B38" t="s">
        <v>17</v>
      </c>
      <c r="C38">
        <v>3.64</v>
      </c>
      <c r="D38">
        <v>4.46</v>
      </c>
      <c r="E38">
        <f t="shared" si="0"/>
        <v>5.7568394106488672</v>
      </c>
      <c r="F38">
        <v>5.7568394106488672</v>
      </c>
      <c r="G38">
        <f t="shared" si="1"/>
        <v>0.13824701051057928</v>
      </c>
    </row>
    <row r="39" spans="1:7" x14ac:dyDescent="0.3">
      <c r="A39" t="s">
        <v>15</v>
      </c>
      <c r="B39" t="s">
        <v>18</v>
      </c>
      <c r="C39">
        <v>16.79</v>
      </c>
      <c r="D39">
        <v>3.25</v>
      </c>
      <c r="E39">
        <f t="shared" si="0"/>
        <v>17.101654890682362</v>
      </c>
      <c r="F39">
        <v>17.101654890682362</v>
      </c>
      <c r="G39">
        <f t="shared" si="1"/>
        <v>0.41068588070167883</v>
      </c>
    </row>
    <row r="40" spans="1:7" x14ac:dyDescent="0.3">
      <c r="A40" t="s">
        <v>15</v>
      </c>
      <c r="B40" t="s">
        <v>19</v>
      </c>
      <c r="C40">
        <v>8</v>
      </c>
      <c r="D40">
        <v>4.38</v>
      </c>
      <c r="E40">
        <f t="shared" si="0"/>
        <v>9.1205482291362294</v>
      </c>
      <c r="F40">
        <v>9.1205482291362294</v>
      </c>
      <c r="G40">
        <f t="shared" si="1"/>
        <v>0.21902443979300157</v>
      </c>
    </row>
    <row r="41" spans="1:7" x14ac:dyDescent="0.3">
      <c r="A41" t="s">
        <v>16</v>
      </c>
      <c r="B41" t="s">
        <v>17</v>
      </c>
      <c r="C41">
        <v>28.09</v>
      </c>
      <c r="D41">
        <v>13.5</v>
      </c>
      <c r="E41">
        <f t="shared" si="0"/>
        <v>31.165655776832292</v>
      </c>
      <c r="F41">
        <v>31.165655776832292</v>
      </c>
      <c r="G41">
        <f t="shared" si="1"/>
        <v>0.74842434092897536</v>
      </c>
    </row>
    <row r="42" spans="1:7" x14ac:dyDescent="0.3">
      <c r="A42" t="s">
        <v>16</v>
      </c>
      <c r="B42" t="s">
        <v>18</v>
      </c>
      <c r="C42">
        <v>41.24</v>
      </c>
      <c r="D42">
        <v>5.77</v>
      </c>
      <c r="E42">
        <f t="shared" si="0"/>
        <v>41.641691848434789</v>
      </c>
      <c r="F42">
        <v>41.641691848434789</v>
      </c>
      <c r="G42">
        <f t="shared" si="1"/>
        <v>1</v>
      </c>
    </row>
    <row r="43" spans="1:7" x14ac:dyDescent="0.3">
      <c r="A43" t="s">
        <v>16</v>
      </c>
      <c r="B43" t="s">
        <v>19</v>
      </c>
      <c r="C43">
        <v>32.450000000000003</v>
      </c>
      <c r="D43">
        <v>13.4</v>
      </c>
      <c r="E43">
        <f t="shared" si="0"/>
        <v>35.107869488193103</v>
      </c>
      <c r="F43">
        <v>35.107869488193103</v>
      </c>
      <c r="G43">
        <f t="shared" si="1"/>
        <v>0.84309421471098855</v>
      </c>
    </row>
    <row r="44" spans="1:7" x14ac:dyDescent="0.3">
      <c r="A44" t="s">
        <v>17</v>
      </c>
      <c r="B44" t="s">
        <v>18</v>
      </c>
      <c r="C44">
        <v>13.15</v>
      </c>
      <c r="D44">
        <v>7.68</v>
      </c>
      <c r="E44">
        <f t="shared" si="0"/>
        <v>15.2284240813027</v>
      </c>
      <c r="F44">
        <v>15.2284240813027</v>
      </c>
      <c r="G44">
        <f t="shared" si="1"/>
        <v>0.36570137776174672</v>
      </c>
    </row>
    <row r="45" spans="1:7" x14ac:dyDescent="0.3">
      <c r="A45" t="s">
        <v>17</v>
      </c>
      <c r="B45" t="s">
        <v>19</v>
      </c>
      <c r="C45">
        <v>4.3600000000000003</v>
      </c>
      <c r="D45">
        <v>0.05</v>
      </c>
      <c r="E45">
        <f t="shared" si="0"/>
        <v>4.360286687822259</v>
      </c>
      <c r="F45">
        <v>4.360286687822259</v>
      </c>
      <c r="G45">
        <f t="shared" si="1"/>
        <v>0.10470964301096598</v>
      </c>
    </row>
    <row r="46" spans="1:7" x14ac:dyDescent="0.3">
      <c r="A46" t="s">
        <v>18</v>
      </c>
      <c r="B46" t="s">
        <v>19</v>
      </c>
      <c r="C46">
        <v>8.7799999999999994</v>
      </c>
      <c r="D46">
        <v>7.63</v>
      </c>
      <c r="E46">
        <f t="shared" si="0"/>
        <v>11.632080639335337</v>
      </c>
      <c r="F46">
        <v>11.632080639335337</v>
      </c>
      <c r="G46">
        <f t="shared" si="1"/>
        <v>0.27933736894440225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220A7-7E42-472E-A9BB-146ED48C8DA4}">
  <sheetPr>
    <tabColor rgb="FF00B050"/>
  </sheetPr>
  <dimension ref="A1:X11"/>
  <sheetViews>
    <sheetView topLeftCell="H1" workbookViewId="0">
      <selection activeCell="O2" sqref="O2:X11"/>
    </sheetView>
  </sheetViews>
  <sheetFormatPr defaultRowHeight="14.4" x14ac:dyDescent="0.3"/>
  <cols>
    <col min="1" max="1" width="6" customWidth="1"/>
    <col min="15" max="24" width="8.88671875" style="1"/>
  </cols>
  <sheetData>
    <row r="1" spans="1:24" x14ac:dyDescent="0.3"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/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</row>
    <row r="2" spans="1:24" x14ac:dyDescent="0.3">
      <c r="A2" t="s">
        <v>10</v>
      </c>
      <c r="B2" s="2">
        <v>0</v>
      </c>
      <c r="C2">
        <v>7.1763848837698223</v>
      </c>
      <c r="D2">
        <v>8.7192946962469389</v>
      </c>
      <c r="E2">
        <v>10.88413524355518</v>
      </c>
      <c r="F2">
        <v>26.750986897682861</v>
      </c>
      <c r="G2">
        <v>16.567839328047576</v>
      </c>
      <c r="H2">
        <v>9.4861583372828004</v>
      </c>
      <c r="I2">
        <v>21.677144645916812</v>
      </c>
      <c r="J2">
        <v>32.531787531582097</v>
      </c>
      <c r="K2">
        <v>25.599441400155591</v>
      </c>
      <c r="L2" s="1"/>
      <c r="O2" s="1">
        <f>B2/$M$3</f>
        <v>0</v>
      </c>
      <c r="P2" s="1">
        <f t="shared" ref="P2:V11" si="0">C2/$M$3</f>
        <v>0.17233653497773446</v>
      </c>
      <c r="Q2" s="1">
        <f t="shared" si="0"/>
        <v>0.20938857931092145</v>
      </c>
      <c r="R2" s="1">
        <f t="shared" si="0"/>
        <v>0.26137591342759742</v>
      </c>
      <c r="S2" s="1">
        <f t="shared" si="0"/>
        <v>0.64240874254220215</v>
      </c>
      <c r="T2" s="1">
        <f t="shared" si="0"/>
        <v>0.39786662339153545</v>
      </c>
      <c r="U2" s="1">
        <f t="shared" si="0"/>
        <v>0.2278043450254138</v>
      </c>
      <c r="V2" s="1">
        <f>I2/$M$3</f>
        <v>0.52056349498997612</v>
      </c>
      <c r="W2" s="1">
        <f t="shared" ref="W2:X11" si="1">J2/$M$3</f>
        <v>0.78123116731158671</v>
      </c>
      <c r="X2" s="1">
        <f>K2/$M$3</f>
        <v>0.61475507511392846</v>
      </c>
    </row>
    <row r="3" spans="1:24" x14ac:dyDescent="0.3">
      <c r="A3" t="s">
        <v>11</v>
      </c>
      <c r="B3">
        <v>7.1763848837698223</v>
      </c>
      <c r="C3" s="2">
        <v>0</v>
      </c>
      <c r="D3">
        <v>5.7056112731240285</v>
      </c>
      <c r="E3">
        <v>5.0589030431507584</v>
      </c>
      <c r="F3">
        <v>24.071154936977994</v>
      </c>
      <c r="G3">
        <v>12.700370073348257</v>
      </c>
      <c r="H3">
        <v>15.53006117180483</v>
      </c>
      <c r="I3">
        <v>16.628881501772749</v>
      </c>
      <c r="J3">
        <v>29.761102130129522</v>
      </c>
      <c r="K3">
        <v>20.90887132295763</v>
      </c>
      <c r="M3">
        <f>MAX(B2:K11)</f>
        <v>41.641691848434789</v>
      </c>
      <c r="O3" s="1">
        <f t="shared" ref="O3:O11" si="2">B3/$M$3</f>
        <v>0.17233653497773446</v>
      </c>
      <c r="P3" s="1">
        <f t="shared" si="0"/>
        <v>0</v>
      </c>
      <c r="Q3" s="1">
        <f t="shared" si="0"/>
        <v>0.13701679782586665</v>
      </c>
      <c r="R3" s="1">
        <f t="shared" si="0"/>
        <v>0.12148649150865157</v>
      </c>
      <c r="S3" s="1">
        <f t="shared" si="0"/>
        <v>0.5780542016542195</v>
      </c>
      <c r="T3" s="1">
        <f t="shared" si="0"/>
        <v>0.30499169245030644</v>
      </c>
      <c r="U3" s="1">
        <f t="shared" si="0"/>
        <v>0.37294500973520284</v>
      </c>
      <c r="V3" s="1">
        <f t="shared" si="0"/>
        <v>0.39933251420950105</v>
      </c>
      <c r="W3" s="1">
        <f t="shared" si="1"/>
        <v>0.71469483609005124</v>
      </c>
      <c r="X3" s="1">
        <f t="shared" si="1"/>
        <v>0.50211387661818896</v>
      </c>
    </row>
    <row r="4" spans="1:24" x14ac:dyDescent="0.3">
      <c r="A4" t="s">
        <v>12</v>
      </c>
      <c r="B4">
        <v>8.7192946962469389</v>
      </c>
      <c r="C4">
        <v>5.7056112731240285</v>
      </c>
      <c r="D4" s="2">
        <v>0</v>
      </c>
      <c r="E4">
        <v>3.6916392023056641</v>
      </c>
      <c r="F4">
        <v>18.841510024411523</v>
      </c>
      <c r="G4">
        <v>7.922354448016069</v>
      </c>
      <c r="H4">
        <v>18.216643488853812</v>
      </c>
      <c r="I4">
        <v>12.958568593791522</v>
      </c>
      <c r="J4">
        <v>24.587649338641544</v>
      </c>
      <c r="K4">
        <v>16.890011841322078</v>
      </c>
      <c r="O4" s="1">
        <f t="shared" si="2"/>
        <v>0.20938857931092145</v>
      </c>
      <c r="P4" s="1">
        <f t="shared" si="0"/>
        <v>0.13701679782586665</v>
      </c>
      <c r="Q4" s="1">
        <f t="shared" si="0"/>
        <v>0</v>
      </c>
      <c r="R4" s="1">
        <f t="shared" si="0"/>
        <v>8.8652478764366632E-2</v>
      </c>
      <c r="S4" s="1">
        <f t="shared" si="0"/>
        <v>0.45246744760010826</v>
      </c>
      <c r="T4" s="1">
        <f t="shared" si="0"/>
        <v>0.1902505420973632</v>
      </c>
      <c r="U4" s="1">
        <f t="shared" si="0"/>
        <v>0.43746165634090423</v>
      </c>
      <c r="V4" s="1">
        <f t="shared" si="0"/>
        <v>0.31119217348222616</v>
      </c>
      <c r="W4" s="1">
        <f t="shared" si="1"/>
        <v>0.59045750177813039</v>
      </c>
      <c r="X4" s="1">
        <f t="shared" si="1"/>
        <v>0.40560340110093135</v>
      </c>
    </row>
    <row r="5" spans="1:24" x14ac:dyDescent="0.3">
      <c r="A5" t="s">
        <v>13</v>
      </c>
      <c r="B5">
        <v>10.88413524355518</v>
      </c>
      <c r="C5">
        <v>5.0589030431507584</v>
      </c>
      <c r="D5">
        <v>3.6916392023056641</v>
      </c>
      <c r="E5" s="2">
        <v>0</v>
      </c>
      <c r="F5">
        <v>19.52588538325471</v>
      </c>
      <c r="G5">
        <v>7.9611368534902107</v>
      </c>
      <c r="H5">
        <v>20.055744812895881</v>
      </c>
      <c r="I5">
        <v>11.598245556979727</v>
      </c>
      <c r="J5">
        <v>25.022665725297934</v>
      </c>
      <c r="K5">
        <v>15.87249507796427</v>
      </c>
      <c r="O5" s="1">
        <f t="shared" si="2"/>
        <v>0.26137591342759742</v>
      </c>
      <c r="P5" s="1">
        <f t="shared" si="0"/>
        <v>0.12148649150865157</v>
      </c>
      <c r="Q5" s="1">
        <f t="shared" si="0"/>
        <v>8.8652478764366632E-2</v>
      </c>
      <c r="R5" s="1">
        <f t="shared" si="0"/>
        <v>0</v>
      </c>
      <c r="S5" s="1">
        <f t="shared" si="0"/>
        <v>0.4689023071954902</v>
      </c>
      <c r="T5" s="1">
        <f t="shared" si="0"/>
        <v>0.19118187806746018</v>
      </c>
      <c r="U5" s="1">
        <f t="shared" si="0"/>
        <v>0.48162656036872165</v>
      </c>
      <c r="V5" s="1">
        <f t="shared" si="0"/>
        <v>0.27852483994152788</v>
      </c>
      <c r="W5" s="1">
        <f t="shared" si="1"/>
        <v>0.60090415673729347</v>
      </c>
      <c r="X5" s="1">
        <f t="shared" si="1"/>
        <v>0.38116835251882014</v>
      </c>
    </row>
    <row r="6" spans="1:24" x14ac:dyDescent="0.3">
      <c r="A6" t="s">
        <v>14</v>
      </c>
      <c r="B6">
        <v>26.750986897682861</v>
      </c>
      <c r="C6">
        <v>24.071154936977994</v>
      </c>
      <c r="D6">
        <v>18.841510024411523</v>
      </c>
      <c r="E6">
        <v>19.52588538325471</v>
      </c>
      <c r="F6" s="2">
        <v>0</v>
      </c>
      <c r="G6">
        <v>11.4881895875721</v>
      </c>
      <c r="H6">
        <v>35.921570121585724</v>
      </c>
      <c r="I6">
        <v>10.687249412266937</v>
      </c>
      <c r="J6">
        <v>5.7700779890743243</v>
      </c>
      <c r="K6">
        <v>8.2301701075980205</v>
      </c>
      <c r="O6" s="1">
        <f t="shared" si="2"/>
        <v>0.64240874254220215</v>
      </c>
      <c r="P6" s="1">
        <f t="shared" si="0"/>
        <v>0.5780542016542195</v>
      </c>
      <c r="Q6" s="1">
        <f t="shared" si="0"/>
        <v>0.45246744760010826</v>
      </c>
      <c r="R6" s="1">
        <f t="shared" si="0"/>
        <v>0.4689023071954902</v>
      </c>
      <c r="S6" s="1">
        <f t="shared" si="0"/>
        <v>0</v>
      </c>
      <c r="T6" s="1">
        <f t="shared" si="0"/>
        <v>0.27588191251657596</v>
      </c>
      <c r="U6" s="1">
        <f t="shared" si="0"/>
        <v>0.86263474241947569</v>
      </c>
      <c r="V6" s="1">
        <f t="shared" si="0"/>
        <v>0.25664781947779203</v>
      </c>
      <c r="W6" s="1">
        <f t="shared" si="1"/>
        <v>0.13856492695051745</v>
      </c>
      <c r="X6" s="1">
        <f t="shared" si="1"/>
        <v>0.19764254866381883</v>
      </c>
    </row>
    <row r="7" spans="1:24" x14ac:dyDescent="0.3">
      <c r="A7" t="s">
        <v>15</v>
      </c>
      <c r="B7">
        <v>16.567839328047576</v>
      </c>
      <c r="C7">
        <v>12.700370073348257</v>
      </c>
      <c r="D7">
        <v>7.922354448016069</v>
      </c>
      <c r="E7">
        <v>7.9611368534902107</v>
      </c>
      <c r="F7">
        <v>11.4881895875721</v>
      </c>
      <c r="G7" s="2">
        <v>0</v>
      </c>
      <c r="H7">
        <v>26.041991091312507</v>
      </c>
      <c r="I7">
        <v>5.7568394106488672</v>
      </c>
      <c r="J7">
        <v>17.101654890682362</v>
      </c>
      <c r="K7">
        <v>9.1205482291362294</v>
      </c>
      <c r="O7" s="1">
        <f t="shared" si="2"/>
        <v>0.39786662339153545</v>
      </c>
      <c r="P7" s="1">
        <f t="shared" si="0"/>
        <v>0.30499169245030644</v>
      </c>
      <c r="Q7" s="1">
        <f t="shared" si="0"/>
        <v>0.1902505420973632</v>
      </c>
      <c r="R7" s="1">
        <f t="shared" si="0"/>
        <v>0.19118187806746018</v>
      </c>
      <c r="S7" s="1">
        <f t="shared" si="0"/>
        <v>0.27588191251657596</v>
      </c>
      <c r="T7" s="1">
        <f t="shared" si="0"/>
        <v>0</v>
      </c>
      <c r="U7" s="1">
        <f t="shared" si="0"/>
        <v>0.62538263781641623</v>
      </c>
      <c r="V7" s="1">
        <f t="shared" si="0"/>
        <v>0.13824701051057928</v>
      </c>
      <c r="W7" s="1">
        <f t="shared" si="1"/>
        <v>0.41068588070167883</v>
      </c>
      <c r="X7" s="1">
        <f t="shared" si="1"/>
        <v>0.21902443979300157</v>
      </c>
    </row>
    <row r="8" spans="1:24" x14ac:dyDescent="0.3">
      <c r="A8" t="s">
        <v>16</v>
      </c>
      <c r="B8">
        <v>9.4861583372828004</v>
      </c>
      <c r="C8">
        <v>15.53006117180483</v>
      </c>
      <c r="D8">
        <v>18.216643488853812</v>
      </c>
      <c r="E8">
        <v>20.055744812895881</v>
      </c>
      <c r="F8">
        <v>35.921570121585724</v>
      </c>
      <c r="G8">
        <v>26.041991091312507</v>
      </c>
      <c r="H8" s="2">
        <v>0</v>
      </c>
      <c r="I8">
        <v>31.165655776832292</v>
      </c>
      <c r="J8">
        <v>41.641691848434789</v>
      </c>
      <c r="K8">
        <v>35.107869488193103</v>
      </c>
      <c r="O8" s="1">
        <f t="shared" si="2"/>
        <v>0.2278043450254138</v>
      </c>
      <c r="P8" s="1">
        <f t="shared" si="0"/>
        <v>0.37294500973520284</v>
      </c>
      <c r="Q8" s="1">
        <f t="shared" si="0"/>
        <v>0.43746165634090423</v>
      </c>
      <c r="R8" s="1">
        <f t="shared" si="0"/>
        <v>0.48162656036872165</v>
      </c>
      <c r="S8" s="1">
        <f t="shared" si="0"/>
        <v>0.86263474241947569</v>
      </c>
      <c r="T8" s="1">
        <f t="shared" si="0"/>
        <v>0.62538263781641623</v>
      </c>
      <c r="U8" s="1">
        <f t="shared" si="0"/>
        <v>0</v>
      </c>
      <c r="V8" s="1">
        <f t="shared" si="0"/>
        <v>0.74842434092897536</v>
      </c>
      <c r="W8" s="1">
        <f t="shared" si="1"/>
        <v>1</v>
      </c>
      <c r="X8" s="1">
        <f t="shared" si="1"/>
        <v>0.84309421471098855</v>
      </c>
    </row>
    <row r="9" spans="1:24" x14ac:dyDescent="0.3">
      <c r="A9" t="s">
        <v>17</v>
      </c>
      <c r="B9">
        <v>21.677144645916812</v>
      </c>
      <c r="C9">
        <v>16.628881501772749</v>
      </c>
      <c r="D9">
        <v>12.958568593791522</v>
      </c>
      <c r="E9">
        <v>11.598245556979727</v>
      </c>
      <c r="F9">
        <v>10.687249412266937</v>
      </c>
      <c r="G9">
        <v>5.7568394106488672</v>
      </c>
      <c r="H9">
        <v>31.165655776832292</v>
      </c>
      <c r="I9" s="2">
        <v>0</v>
      </c>
      <c r="J9">
        <v>15.2284240813027</v>
      </c>
      <c r="K9">
        <v>4.360286687822259</v>
      </c>
      <c r="O9" s="1">
        <f t="shared" si="2"/>
        <v>0.52056349498997612</v>
      </c>
      <c r="P9" s="1">
        <f t="shared" si="0"/>
        <v>0.39933251420950105</v>
      </c>
      <c r="Q9" s="1">
        <f t="shared" si="0"/>
        <v>0.31119217348222616</v>
      </c>
      <c r="R9" s="1">
        <f t="shared" si="0"/>
        <v>0.27852483994152788</v>
      </c>
      <c r="S9" s="1">
        <f t="shared" si="0"/>
        <v>0.25664781947779203</v>
      </c>
      <c r="T9" s="1">
        <f t="shared" si="0"/>
        <v>0.13824701051057928</v>
      </c>
      <c r="U9" s="1">
        <f t="shared" si="0"/>
        <v>0.74842434092897536</v>
      </c>
      <c r="V9" s="1">
        <f t="shared" si="0"/>
        <v>0</v>
      </c>
      <c r="W9" s="1">
        <f t="shared" si="1"/>
        <v>0.36570137776174672</v>
      </c>
      <c r="X9" s="1">
        <f t="shared" si="1"/>
        <v>0.10470964301096598</v>
      </c>
    </row>
    <row r="10" spans="1:24" x14ac:dyDescent="0.3">
      <c r="A10" t="s">
        <v>18</v>
      </c>
      <c r="B10">
        <v>32.531787531582097</v>
      </c>
      <c r="C10">
        <v>29.761102130129522</v>
      </c>
      <c r="D10">
        <v>24.587649338641544</v>
      </c>
      <c r="E10">
        <v>25.022665725297934</v>
      </c>
      <c r="F10">
        <v>5.7700779890743243</v>
      </c>
      <c r="G10">
        <v>17.101654890682362</v>
      </c>
      <c r="H10">
        <v>41.641691848434789</v>
      </c>
      <c r="I10">
        <v>15.2284240813027</v>
      </c>
      <c r="J10" s="2">
        <v>0</v>
      </c>
      <c r="K10">
        <v>11.632080639335337</v>
      </c>
      <c r="O10" s="1">
        <f t="shared" si="2"/>
        <v>0.78123116731158671</v>
      </c>
      <c r="P10" s="1">
        <f t="shared" si="0"/>
        <v>0.71469483609005124</v>
      </c>
      <c r="Q10" s="1">
        <f t="shared" si="0"/>
        <v>0.59045750177813039</v>
      </c>
      <c r="R10" s="1">
        <f t="shared" si="0"/>
        <v>0.60090415673729347</v>
      </c>
      <c r="S10" s="1">
        <f t="shared" si="0"/>
        <v>0.13856492695051745</v>
      </c>
      <c r="T10" s="1">
        <f t="shared" si="0"/>
        <v>0.41068588070167883</v>
      </c>
      <c r="U10" s="1">
        <f t="shared" si="0"/>
        <v>1</v>
      </c>
      <c r="V10" s="1">
        <f t="shared" si="0"/>
        <v>0.36570137776174672</v>
      </c>
      <c r="W10" s="1">
        <f t="shared" si="1"/>
        <v>0</v>
      </c>
      <c r="X10" s="1">
        <f t="shared" si="1"/>
        <v>0.27933736894440225</v>
      </c>
    </row>
    <row r="11" spans="1:24" x14ac:dyDescent="0.3">
      <c r="A11" t="s">
        <v>19</v>
      </c>
      <c r="B11">
        <v>25.599441400155591</v>
      </c>
      <c r="C11">
        <v>20.90887132295763</v>
      </c>
      <c r="D11">
        <v>16.890011841322078</v>
      </c>
      <c r="E11">
        <v>15.87249507796427</v>
      </c>
      <c r="F11">
        <v>8.2301701075980205</v>
      </c>
      <c r="G11">
        <v>9.1205482291362294</v>
      </c>
      <c r="H11">
        <v>35.107869488193103</v>
      </c>
      <c r="I11">
        <v>4.360286687822259</v>
      </c>
      <c r="J11">
        <v>11.632080639335337</v>
      </c>
      <c r="K11" s="2">
        <v>0</v>
      </c>
      <c r="L11" s="1"/>
      <c r="O11" s="1">
        <f t="shared" si="2"/>
        <v>0.61475507511392846</v>
      </c>
      <c r="P11" s="1">
        <f t="shared" si="0"/>
        <v>0.50211387661818896</v>
      </c>
      <c r="Q11" s="1">
        <f t="shared" si="0"/>
        <v>0.40560340110093135</v>
      </c>
      <c r="R11" s="1">
        <f t="shared" si="0"/>
        <v>0.38116835251882014</v>
      </c>
      <c r="S11" s="1">
        <f t="shared" si="0"/>
        <v>0.19764254866381883</v>
      </c>
      <c r="T11" s="1">
        <f t="shared" si="0"/>
        <v>0.21902443979300157</v>
      </c>
      <c r="U11" s="1">
        <f t="shared" si="0"/>
        <v>0.84309421471098855</v>
      </c>
      <c r="V11" s="1">
        <f t="shared" si="0"/>
        <v>0.10470964301096598</v>
      </c>
      <c r="W11" s="1">
        <f t="shared" si="1"/>
        <v>0.27933736894440225</v>
      </c>
      <c r="X11" s="1">
        <f t="shared" si="1"/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07D34-7403-4D5C-8519-3FDD57A322FF}">
  <sheetPr>
    <tabColor rgb="FFC00000"/>
  </sheetPr>
  <dimension ref="A1:J11"/>
  <sheetViews>
    <sheetView workbookViewId="0">
      <selection activeCell="H30" sqref="H30"/>
    </sheetView>
  </sheetViews>
  <sheetFormatPr defaultRowHeight="14.4" x14ac:dyDescent="0.3"/>
  <sheetData>
    <row r="1" spans="1:10" x14ac:dyDescent="0.3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</row>
    <row r="2" spans="1:10" x14ac:dyDescent="0.3">
      <c r="A2">
        <v>0</v>
      </c>
      <c r="B2">
        <v>0.17233653497773446</v>
      </c>
      <c r="C2">
        <v>0.20938857931092145</v>
      </c>
      <c r="D2">
        <v>0.26137591342759742</v>
      </c>
      <c r="E2">
        <v>0.64240874254220215</v>
      </c>
      <c r="F2">
        <v>0.39786662339153545</v>
      </c>
      <c r="G2">
        <v>0.2278043450254138</v>
      </c>
      <c r="H2">
        <v>0.52056349498997612</v>
      </c>
      <c r="I2">
        <v>0.78123116731158671</v>
      </c>
      <c r="J2">
        <v>0.61475507511392846</v>
      </c>
    </row>
    <row r="3" spans="1:10" x14ac:dyDescent="0.3">
      <c r="A3">
        <v>0.17233653497773446</v>
      </c>
      <c r="B3">
        <v>0</v>
      </c>
      <c r="C3">
        <v>0.13701679782586665</v>
      </c>
      <c r="D3">
        <v>0.12148649150865157</v>
      </c>
      <c r="E3">
        <v>0.5780542016542195</v>
      </c>
      <c r="F3">
        <v>0.30499169245030644</v>
      </c>
      <c r="G3">
        <v>0.37294500973520284</v>
      </c>
      <c r="H3">
        <v>0.39933251420950105</v>
      </c>
      <c r="I3">
        <v>0.71469483609005124</v>
      </c>
      <c r="J3">
        <v>0.50211387661818896</v>
      </c>
    </row>
    <row r="4" spans="1:10" x14ac:dyDescent="0.3">
      <c r="A4">
        <v>0.20938857931092145</v>
      </c>
      <c r="B4">
        <v>0.13701679782586665</v>
      </c>
      <c r="C4">
        <v>0</v>
      </c>
      <c r="D4">
        <v>8.8652478764366632E-2</v>
      </c>
      <c r="E4">
        <v>0.45246744760010826</v>
      </c>
      <c r="F4">
        <v>0.1902505420973632</v>
      </c>
      <c r="G4">
        <v>0.43746165634090423</v>
      </c>
      <c r="H4">
        <v>0.31119217348222616</v>
      </c>
      <c r="I4">
        <v>0.59045750177813039</v>
      </c>
      <c r="J4">
        <v>0.40560340110093135</v>
      </c>
    </row>
    <row r="5" spans="1:10" x14ac:dyDescent="0.3">
      <c r="A5">
        <v>0.26137591342759742</v>
      </c>
      <c r="B5">
        <v>0.12148649150865157</v>
      </c>
      <c r="C5">
        <v>8.8652478764366632E-2</v>
      </c>
      <c r="D5">
        <v>0</v>
      </c>
      <c r="E5">
        <v>0.4689023071954902</v>
      </c>
      <c r="F5">
        <v>0.19118187806746018</v>
      </c>
      <c r="G5">
        <v>0.48162656036872165</v>
      </c>
      <c r="H5">
        <v>0.27852483994152788</v>
      </c>
      <c r="I5">
        <v>0.60090415673729347</v>
      </c>
      <c r="J5">
        <v>0.38116835251882014</v>
      </c>
    </row>
    <row r="6" spans="1:10" x14ac:dyDescent="0.3">
      <c r="A6">
        <v>0.64240874254220215</v>
      </c>
      <c r="B6">
        <v>0.5780542016542195</v>
      </c>
      <c r="C6">
        <v>0.45246744760010826</v>
      </c>
      <c r="D6">
        <v>0.4689023071954902</v>
      </c>
      <c r="E6">
        <v>0</v>
      </c>
      <c r="F6">
        <v>0.27588191251657596</v>
      </c>
      <c r="G6">
        <v>0.86263474241947569</v>
      </c>
      <c r="H6">
        <v>0.25664781947779203</v>
      </c>
      <c r="I6">
        <v>0.13856492695051745</v>
      </c>
      <c r="J6">
        <v>0.19764254866381883</v>
      </c>
    </row>
    <row r="7" spans="1:10" x14ac:dyDescent="0.3">
      <c r="A7">
        <v>0.39786662339153545</v>
      </c>
      <c r="B7">
        <v>0.30499169245030644</v>
      </c>
      <c r="C7">
        <v>0.1902505420973632</v>
      </c>
      <c r="D7">
        <v>0.19118187806746018</v>
      </c>
      <c r="E7">
        <v>0.27588191251657596</v>
      </c>
      <c r="F7">
        <v>0</v>
      </c>
      <c r="G7">
        <v>0.62538263781641623</v>
      </c>
      <c r="H7">
        <v>0.13824701051057928</v>
      </c>
      <c r="I7">
        <v>0.41068588070167883</v>
      </c>
      <c r="J7">
        <v>0.21902443979300157</v>
      </c>
    </row>
    <row r="8" spans="1:10" x14ac:dyDescent="0.3">
      <c r="A8">
        <v>0.2278043450254138</v>
      </c>
      <c r="B8">
        <v>0.37294500973520284</v>
      </c>
      <c r="C8">
        <v>0.43746165634090423</v>
      </c>
      <c r="D8">
        <v>0.48162656036872165</v>
      </c>
      <c r="E8">
        <v>0.86263474241947569</v>
      </c>
      <c r="F8">
        <v>0.62538263781641623</v>
      </c>
      <c r="G8">
        <v>0</v>
      </c>
      <c r="H8">
        <v>0.74842434092897536</v>
      </c>
      <c r="I8">
        <v>1</v>
      </c>
      <c r="J8">
        <v>0.84309421471098855</v>
      </c>
    </row>
    <row r="9" spans="1:10" x14ac:dyDescent="0.3">
      <c r="A9">
        <v>0.52056349498997612</v>
      </c>
      <c r="B9">
        <v>0.39933251420950105</v>
      </c>
      <c r="C9">
        <v>0.31119217348222616</v>
      </c>
      <c r="D9">
        <v>0.27852483994152788</v>
      </c>
      <c r="E9">
        <v>0.25664781947779203</v>
      </c>
      <c r="F9">
        <v>0.13824701051057928</v>
      </c>
      <c r="G9">
        <v>0.74842434092897536</v>
      </c>
      <c r="H9">
        <v>0</v>
      </c>
      <c r="I9">
        <v>0.36570137776174672</v>
      </c>
      <c r="J9">
        <v>0.10470964301096598</v>
      </c>
    </row>
    <row r="10" spans="1:10" x14ac:dyDescent="0.3">
      <c r="A10">
        <v>0.78123116731158671</v>
      </c>
      <c r="B10">
        <v>0.71469483609005124</v>
      </c>
      <c r="C10">
        <v>0.59045750177813039</v>
      </c>
      <c r="D10">
        <v>0.60090415673729347</v>
      </c>
      <c r="E10">
        <v>0.13856492695051745</v>
      </c>
      <c r="F10">
        <v>0.41068588070167883</v>
      </c>
      <c r="G10">
        <v>1</v>
      </c>
      <c r="H10">
        <v>0.36570137776174672</v>
      </c>
      <c r="I10">
        <v>0</v>
      </c>
      <c r="J10">
        <v>0.27933736894440225</v>
      </c>
    </row>
    <row r="11" spans="1:10" x14ac:dyDescent="0.3">
      <c r="A11">
        <v>0.61475507511392846</v>
      </c>
      <c r="B11">
        <v>0.50211387661818896</v>
      </c>
      <c r="C11">
        <v>0.40560340110093135</v>
      </c>
      <c r="D11">
        <v>0.38116835251882014</v>
      </c>
      <c r="E11">
        <v>0.19764254866381883</v>
      </c>
      <c r="F11">
        <v>0.21902443979300157</v>
      </c>
      <c r="G11">
        <v>0.84309421471098855</v>
      </c>
      <c r="H11">
        <v>0.10470964301096598</v>
      </c>
      <c r="I11">
        <v>0.27933736894440225</v>
      </c>
      <c r="J1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B8877-2C64-4618-AE1C-7B1054E416EE}">
  <sheetPr>
    <tabColor rgb="FF00B050"/>
  </sheetPr>
  <dimension ref="A1:X11"/>
  <sheetViews>
    <sheetView topLeftCell="H1" workbookViewId="0">
      <selection activeCell="O2" sqref="O2:X11"/>
    </sheetView>
  </sheetViews>
  <sheetFormatPr defaultRowHeight="14.4" x14ac:dyDescent="0.3"/>
  <sheetData>
    <row r="1" spans="1:24" x14ac:dyDescent="0.3"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</row>
    <row r="2" spans="1:24" x14ac:dyDescent="0.3">
      <c r="A2" t="s">
        <v>10</v>
      </c>
      <c r="B2">
        <f>IF(PVL5_mtx_c!B2=0,0,PVL5_mtx_c!B2-3.28)</f>
        <v>0</v>
      </c>
      <c r="C2">
        <f>IF(PVL5_mtx_c!C2=0,0,PVL5_mtx_c!C2-3.28)</f>
        <v>3.8963848837698225</v>
      </c>
      <c r="D2">
        <f>IF(PVL5_mtx_c!D2=0,0,PVL5_mtx_c!D2-3.28)</f>
        <v>5.4392946962469395</v>
      </c>
      <c r="E2">
        <f>IF(PVL5_mtx_c!E2=0,0,PVL5_mtx_c!E2-3.28)</f>
        <v>7.6041352435551808</v>
      </c>
      <c r="F2">
        <f>IF(PVL5_mtx_c!F2=0,0,PVL5_mtx_c!F2-3.28)</f>
        <v>23.47098689768286</v>
      </c>
      <c r="G2">
        <f>IF(PVL5_mtx_c!G2=0,0,PVL5_mtx_c!G2-3.28)</f>
        <v>13.287839328047577</v>
      </c>
      <c r="H2">
        <f>IF(PVL5_mtx_c!H2=0,0,PVL5_mtx_c!H2-3.28)</f>
        <v>6.2061583372828011</v>
      </c>
      <c r="I2">
        <f>IF(PVL5_mtx_c!I2=0,0,PVL5_mtx_c!I2-3.28)</f>
        <v>18.397144645916811</v>
      </c>
      <c r="J2">
        <f>IF(PVL5_mtx_c!J2=0,0,PVL5_mtx_c!J2-3.28)</f>
        <v>29.251787531582096</v>
      </c>
      <c r="K2">
        <f>IF(PVL5_mtx_c!K2=0,0,PVL5_mtx_c!K2-3.28)</f>
        <v>22.31944140015559</v>
      </c>
      <c r="M2">
        <v>0</v>
      </c>
      <c r="O2" s="1">
        <f>B2/$M$3</f>
        <v>0</v>
      </c>
      <c r="P2" s="1">
        <f t="shared" ref="P2:V11" si="0">C2/$M$3</f>
        <v>0.10156968308812482</v>
      </c>
      <c r="Q2" s="1">
        <f t="shared" si="0"/>
        <v>0.14178974998645349</v>
      </c>
      <c r="R2" s="1">
        <f t="shared" si="0"/>
        <v>0.19822210327945794</v>
      </c>
      <c r="S2" s="1">
        <f t="shared" si="0"/>
        <v>0.61183398767748842</v>
      </c>
      <c r="T2" s="1">
        <f t="shared" si="0"/>
        <v>0.34638303702941975</v>
      </c>
      <c r="U2" s="1">
        <f t="shared" si="0"/>
        <v>0.16178009984030517</v>
      </c>
      <c r="V2" s="1">
        <f>I2/$M$3</f>
        <v>0.47957073214088292</v>
      </c>
      <c r="W2" s="1">
        <f t="shared" ref="W2:X11" si="1">J2/$M$3</f>
        <v>0.76252600242852975</v>
      </c>
      <c r="X2" s="1">
        <f>K2/$M$3</f>
        <v>0.58181587736898144</v>
      </c>
    </row>
    <row r="3" spans="1:24" x14ac:dyDescent="0.3">
      <c r="A3" t="s">
        <v>11</v>
      </c>
      <c r="B3">
        <f>IF(PVL5_mtx_c!B3=0,0,PVL5_mtx_c!B3-3.28)</f>
        <v>3.8963848837698225</v>
      </c>
      <c r="C3">
        <f>IF(PVL5_mtx_c!C3=0,0,PVL5_mtx_c!C3-3.28)</f>
        <v>0</v>
      </c>
      <c r="D3">
        <f>IF(PVL5_mtx_c!D3=0,0,PVL5_mtx_c!D3-3.28)</f>
        <v>2.4256112731240287</v>
      </c>
      <c r="E3">
        <f>IF(PVL5_mtx_c!E3=0,0,PVL5_mtx_c!E3-3.28)</f>
        <v>1.7789030431507586</v>
      </c>
      <c r="F3">
        <f>IF(PVL5_mtx_c!F3=0,0,PVL5_mtx_c!F3-3.28)</f>
        <v>20.791154936977993</v>
      </c>
      <c r="G3">
        <f>IF(PVL5_mtx_c!G3=0,0,PVL5_mtx_c!G3-3.28)</f>
        <v>9.4203700733482574</v>
      </c>
      <c r="H3">
        <f>IF(PVL5_mtx_c!H3=0,0,PVL5_mtx_c!H3-3.28)</f>
        <v>12.25006117180483</v>
      </c>
      <c r="I3">
        <f>IF(PVL5_mtx_c!I3=0,0,PVL5_mtx_c!I3-3.28)</f>
        <v>13.34888150177275</v>
      </c>
      <c r="J3">
        <f>IF(PVL5_mtx_c!J3=0,0,PVL5_mtx_c!J3-3.28)</f>
        <v>26.481102130129521</v>
      </c>
      <c r="K3">
        <f>IF(PVL5_mtx_c!K3=0,0,PVL5_mtx_c!K3-3.28)</f>
        <v>17.628871322957629</v>
      </c>
      <c r="M3">
        <f>MAX(B2:K11)</f>
        <v>38.361691848434788</v>
      </c>
      <c r="O3" s="1">
        <f t="shared" ref="O3:O11" si="2">B3/$M$3</f>
        <v>0.10156968308812482</v>
      </c>
      <c r="P3" s="1">
        <f t="shared" si="0"/>
        <v>0</v>
      </c>
      <c r="Q3" s="1">
        <f t="shared" si="0"/>
        <v>6.3230039037576943E-2</v>
      </c>
      <c r="R3" s="1">
        <f t="shared" si="0"/>
        <v>4.6371861026857718E-2</v>
      </c>
      <c r="S3" s="1">
        <f t="shared" si="0"/>
        <v>0.5419770071435549</v>
      </c>
      <c r="T3" s="1">
        <f t="shared" si="0"/>
        <v>0.24556711707522416</v>
      </c>
      <c r="U3" s="1">
        <f t="shared" si="0"/>
        <v>0.3193305764564357</v>
      </c>
      <c r="V3" s="1">
        <f t="shared" si="0"/>
        <v>0.34797426439150658</v>
      </c>
      <c r="W3" s="1">
        <f t="shared" si="1"/>
        <v>0.69030068420222679</v>
      </c>
      <c r="X3" s="1">
        <f t="shared" si="1"/>
        <v>0.45954363516104707</v>
      </c>
    </row>
    <row r="4" spans="1:24" x14ac:dyDescent="0.3">
      <c r="A4" t="s">
        <v>12</v>
      </c>
      <c r="B4">
        <f>IF(PVL5_mtx_c!B4=0,0,PVL5_mtx_c!B4-3.28)</f>
        <v>5.4392946962469395</v>
      </c>
      <c r="C4">
        <f>IF(PVL5_mtx_c!C4=0,0,PVL5_mtx_c!C4-3.28)</f>
        <v>2.4256112731240287</v>
      </c>
      <c r="D4">
        <f>IF(PVL5_mtx_c!D4=0,0,PVL5_mtx_c!D4-3.28)</f>
        <v>0</v>
      </c>
      <c r="E4">
        <f>IF(PVL5_mtx_c!E4=0,0,PVL5_mtx_c!E4-3.28)</f>
        <v>0.41163920230566431</v>
      </c>
      <c r="F4">
        <f>IF(PVL5_mtx_c!F4=0,0,PVL5_mtx_c!F4-3.28)</f>
        <v>15.561510024411524</v>
      </c>
      <c r="G4">
        <f>IF(PVL5_mtx_c!G4=0,0,PVL5_mtx_c!G4-3.28)</f>
        <v>4.6423544480160697</v>
      </c>
      <c r="H4">
        <f>IF(PVL5_mtx_c!H4=0,0,PVL5_mtx_c!H4-3.28)</f>
        <v>14.936643488853813</v>
      </c>
      <c r="I4">
        <f>IF(PVL5_mtx_c!I4=0,0,PVL5_mtx_c!I4-3.28)</f>
        <v>9.6785685937915229</v>
      </c>
      <c r="J4">
        <f>IF(PVL5_mtx_c!J4=0,0,PVL5_mtx_c!J4-3.28)</f>
        <v>21.307649338641543</v>
      </c>
      <c r="K4">
        <f>IF(PVL5_mtx_c!K4=0,0,PVL5_mtx_c!K4-3.28)</f>
        <v>13.610011841322079</v>
      </c>
      <c r="O4" s="1">
        <f t="shared" si="2"/>
        <v>0.14178974998645349</v>
      </c>
      <c r="P4" s="1">
        <f t="shared" si="0"/>
        <v>6.3230039037576943E-2</v>
      </c>
      <c r="Q4" s="1">
        <f t="shared" si="0"/>
        <v>0</v>
      </c>
      <c r="R4" s="1">
        <f t="shared" si="0"/>
        <v>1.0730475703001608E-2</v>
      </c>
      <c r="S4" s="1">
        <f t="shared" si="0"/>
        <v>0.40565233895038588</v>
      </c>
      <c r="T4" s="1">
        <f t="shared" si="0"/>
        <v>0.12101537300173805</v>
      </c>
      <c r="U4" s="1">
        <f t="shared" si="0"/>
        <v>0.38936352306534805</v>
      </c>
      <c r="V4" s="1">
        <f t="shared" si="0"/>
        <v>0.25229775141386063</v>
      </c>
      <c r="W4" s="1">
        <f t="shared" si="1"/>
        <v>0.55544081378962762</v>
      </c>
      <c r="X4" s="1">
        <f t="shared" si="1"/>
        <v>0.35478132442892729</v>
      </c>
    </row>
    <row r="5" spans="1:24" x14ac:dyDescent="0.3">
      <c r="A5" t="s">
        <v>13</v>
      </c>
      <c r="B5">
        <f>IF(PVL5_mtx_c!B5=0,0,PVL5_mtx_c!B5-3.28)</f>
        <v>7.6041352435551808</v>
      </c>
      <c r="C5">
        <f>IF(PVL5_mtx_c!C5=0,0,PVL5_mtx_c!C5-3.28)</f>
        <v>1.7789030431507586</v>
      </c>
      <c r="D5">
        <f>IF(PVL5_mtx_c!D5=0,0,PVL5_mtx_c!D5-3.28)</f>
        <v>0.41163920230566431</v>
      </c>
      <c r="E5">
        <f>IF(PVL5_mtx_c!E5=0,0,PVL5_mtx_c!E5-3.28)</f>
        <v>0</v>
      </c>
      <c r="F5">
        <f>IF(PVL5_mtx_c!F5=0,0,PVL5_mtx_c!F5-3.28)</f>
        <v>16.245885383254709</v>
      </c>
      <c r="G5">
        <f>IF(PVL5_mtx_c!G5=0,0,PVL5_mtx_c!G5-3.28)</f>
        <v>4.6811368534902105</v>
      </c>
      <c r="H5">
        <f>IF(PVL5_mtx_c!H5=0,0,PVL5_mtx_c!H5-3.28)</f>
        <v>16.77574481289588</v>
      </c>
      <c r="I5">
        <f>IF(PVL5_mtx_c!I5=0,0,PVL5_mtx_c!I5-3.28)</f>
        <v>8.3182455569797273</v>
      </c>
      <c r="J5">
        <f>IF(PVL5_mtx_c!J5=0,0,PVL5_mtx_c!J5-3.28)</f>
        <v>21.742665725297933</v>
      </c>
      <c r="K5">
        <f>IF(PVL5_mtx_c!K5=0,0,PVL5_mtx_c!K5-3.28)</f>
        <v>12.592495077964271</v>
      </c>
      <c r="O5" s="1">
        <f t="shared" si="2"/>
        <v>0.19822210327945794</v>
      </c>
      <c r="P5" s="1">
        <f t="shared" si="0"/>
        <v>4.6371861026857718E-2</v>
      </c>
      <c r="Q5" s="1">
        <f t="shared" si="0"/>
        <v>1.0730475703001608E-2</v>
      </c>
      <c r="R5" s="1">
        <f t="shared" si="0"/>
        <v>0</v>
      </c>
      <c r="S5" s="1">
        <f t="shared" si="0"/>
        <v>0.42349241132120624</v>
      </c>
      <c r="T5" s="1">
        <f t="shared" si="0"/>
        <v>0.12202634002653373</v>
      </c>
      <c r="U5" s="1">
        <f t="shared" si="0"/>
        <v>0.43730461313270663</v>
      </c>
      <c r="V5" s="1">
        <f t="shared" si="0"/>
        <v>0.21683729669287574</v>
      </c>
      <c r="W5" s="1">
        <f t="shared" si="1"/>
        <v>0.56678067826628098</v>
      </c>
      <c r="X5" s="1">
        <f t="shared" si="1"/>
        <v>0.32825703119968269</v>
      </c>
    </row>
    <row r="6" spans="1:24" x14ac:dyDescent="0.3">
      <c r="A6" t="s">
        <v>14</v>
      </c>
      <c r="B6">
        <f>IF(PVL5_mtx_c!B6=0,0,PVL5_mtx_c!B6-3.28)</f>
        <v>23.47098689768286</v>
      </c>
      <c r="C6">
        <f>IF(PVL5_mtx_c!C6=0,0,PVL5_mtx_c!C6-3.28)</f>
        <v>20.791154936977993</v>
      </c>
      <c r="D6">
        <f>IF(PVL5_mtx_c!D6=0,0,PVL5_mtx_c!D6-3.28)</f>
        <v>15.561510024411524</v>
      </c>
      <c r="E6">
        <f>IF(PVL5_mtx_c!E6=0,0,PVL5_mtx_c!E6-3.28)</f>
        <v>16.245885383254709</v>
      </c>
      <c r="F6">
        <f>IF(PVL5_mtx_c!F6=0,0,PVL5_mtx_c!F6-3.28)</f>
        <v>0</v>
      </c>
      <c r="G6">
        <f>IF(PVL5_mtx_c!G6=0,0,PVL5_mtx_c!G6-3.28)</f>
        <v>8.2081895875721003</v>
      </c>
      <c r="H6">
        <f>IF(PVL5_mtx_c!H6=0,0,PVL5_mtx_c!H6-3.28)</f>
        <v>32.641570121585723</v>
      </c>
      <c r="I6">
        <f>IF(PVL5_mtx_c!I6=0,0,PVL5_mtx_c!I6-3.28)</f>
        <v>7.4072494122669372</v>
      </c>
      <c r="J6">
        <f>IF(PVL5_mtx_c!J6=0,0,PVL5_mtx_c!J6-3.28)</f>
        <v>2.4900779890743245</v>
      </c>
      <c r="K6">
        <f>IF(PVL5_mtx_c!K6=0,0,PVL5_mtx_c!K6-3.28)</f>
        <v>4.9501701075980211</v>
      </c>
      <c r="O6" s="1">
        <f t="shared" si="2"/>
        <v>0.61183398767748842</v>
      </c>
      <c r="P6" s="1">
        <f t="shared" si="0"/>
        <v>0.5419770071435549</v>
      </c>
      <c r="Q6" s="1">
        <f t="shared" si="0"/>
        <v>0.40565233895038588</v>
      </c>
      <c r="R6" s="1">
        <f t="shared" si="0"/>
        <v>0.42349241132120624</v>
      </c>
      <c r="S6" s="1">
        <f t="shared" si="0"/>
        <v>0</v>
      </c>
      <c r="T6" s="1">
        <f t="shared" si="0"/>
        <v>0.21396839378206428</v>
      </c>
      <c r="U6" s="1">
        <f t="shared" si="0"/>
        <v>0.85088974309451748</v>
      </c>
      <c r="V6" s="1">
        <f t="shared" si="0"/>
        <v>0.19308974801040127</v>
      </c>
      <c r="W6" s="1">
        <f t="shared" si="1"/>
        <v>6.4910536243096464E-2</v>
      </c>
      <c r="X6" s="1">
        <f t="shared" si="1"/>
        <v>0.12903941064841215</v>
      </c>
    </row>
    <row r="7" spans="1:24" x14ac:dyDescent="0.3">
      <c r="A7" t="s">
        <v>15</v>
      </c>
      <c r="B7">
        <f>IF(PVL5_mtx_c!B7=0,0,PVL5_mtx_c!B7-3.28)</f>
        <v>13.287839328047577</v>
      </c>
      <c r="C7">
        <f>IF(PVL5_mtx_c!C7=0,0,PVL5_mtx_c!C7-3.28)</f>
        <v>9.4203700733482574</v>
      </c>
      <c r="D7">
        <f>IF(PVL5_mtx_c!D7=0,0,PVL5_mtx_c!D7-3.28)</f>
        <v>4.6423544480160697</v>
      </c>
      <c r="E7">
        <f>IF(PVL5_mtx_c!E7=0,0,PVL5_mtx_c!E7-3.28)</f>
        <v>4.6811368534902105</v>
      </c>
      <c r="F7">
        <f>IF(PVL5_mtx_c!F7=0,0,PVL5_mtx_c!F7-3.28)</f>
        <v>8.2081895875721003</v>
      </c>
      <c r="G7">
        <f>IF(PVL5_mtx_c!G7=0,0,PVL5_mtx_c!G7-3.28)</f>
        <v>0</v>
      </c>
      <c r="H7">
        <f>IF(PVL5_mtx_c!H7=0,0,PVL5_mtx_c!H7-3.28)</f>
        <v>22.761991091312506</v>
      </c>
      <c r="I7">
        <f>IF(PVL5_mtx_c!I7=0,0,PVL5_mtx_c!I7-3.28)</f>
        <v>2.4768394106488674</v>
      </c>
      <c r="J7">
        <f>IF(PVL5_mtx_c!J7=0,0,PVL5_mtx_c!J7-3.28)</f>
        <v>13.821654890682362</v>
      </c>
      <c r="K7">
        <f>IF(PVL5_mtx_c!K7=0,0,PVL5_mtx_c!K7-3.28)</f>
        <v>5.8405482291362301</v>
      </c>
      <c r="O7" s="1">
        <f t="shared" si="2"/>
        <v>0.34638303702941975</v>
      </c>
      <c r="P7" s="1">
        <f t="shared" si="0"/>
        <v>0.24556711707522416</v>
      </c>
      <c r="Q7" s="1">
        <f t="shared" si="0"/>
        <v>0.12101537300173805</v>
      </c>
      <c r="R7" s="1">
        <f t="shared" si="0"/>
        <v>0.12202634002653373</v>
      </c>
      <c r="S7" s="1">
        <f t="shared" si="0"/>
        <v>0.21396839378206428</v>
      </c>
      <c r="T7" s="1">
        <f t="shared" si="0"/>
        <v>0</v>
      </c>
      <c r="U7" s="1">
        <f t="shared" si="0"/>
        <v>0.59335211755633843</v>
      </c>
      <c r="V7" s="1">
        <f t="shared" si="0"/>
        <v>6.4565437323117592E-2</v>
      </c>
      <c r="W7" s="1">
        <f t="shared" si="1"/>
        <v>0.36029836601813758</v>
      </c>
      <c r="X7" s="1">
        <f t="shared" si="1"/>
        <v>0.15224949546573591</v>
      </c>
    </row>
    <row r="8" spans="1:24" x14ac:dyDescent="0.3">
      <c r="A8" t="s">
        <v>16</v>
      </c>
      <c r="B8">
        <f>IF(PVL5_mtx_c!B8=0,0,PVL5_mtx_c!B8-3.28)</f>
        <v>6.2061583372828011</v>
      </c>
      <c r="C8">
        <f>IF(PVL5_mtx_c!C8=0,0,PVL5_mtx_c!C8-3.28)</f>
        <v>12.25006117180483</v>
      </c>
      <c r="D8">
        <f>IF(PVL5_mtx_c!D8=0,0,PVL5_mtx_c!D8-3.28)</f>
        <v>14.936643488853813</v>
      </c>
      <c r="E8">
        <f>IF(PVL5_mtx_c!E8=0,0,PVL5_mtx_c!E8-3.28)</f>
        <v>16.77574481289588</v>
      </c>
      <c r="F8">
        <f>IF(PVL5_mtx_c!F8=0,0,PVL5_mtx_c!F8-3.28)</f>
        <v>32.641570121585723</v>
      </c>
      <c r="G8">
        <f>IF(PVL5_mtx_c!G8=0,0,PVL5_mtx_c!G8-3.28)</f>
        <v>22.761991091312506</v>
      </c>
      <c r="H8">
        <f>IF(PVL5_mtx_c!H8=0,0,PVL5_mtx_c!H8-3.28)</f>
        <v>0</v>
      </c>
      <c r="I8">
        <f>IF(PVL5_mtx_c!I8=0,0,PVL5_mtx_c!I8-3.28)</f>
        <v>27.885655776832291</v>
      </c>
      <c r="J8">
        <f>IF(PVL5_mtx_c!J8=0,0,PVL5_mtx_c!J8-3.28)</f>
        <v>38.361691848434788</v>
      </c>
      <c r="K8">
        <f>IF(PVL5_mtx_c!K8=0,0,PVL5_mtx_c!K8-3.28)</f>
        <v>31.827869488193102</v>
      </c>
      <c r="O8" s="1">
        <f t="shared" si="2"/>
        <v>0.16178009984030517</v>
      </c>
      <c r="P8" s="1">
        <f t="shared" si="0"/>
        <v>0.3193305764564357</v>
      </c>
      <c r="Q8" s="1">
        <f t="shared" si="0"/>
        <v>0.38936352306534805</v>
      </c>
      <c r="R8" s="1">
        <f t="shared" si="0"/>
        <v>0.43730461313270663</v>
      </c>
      <c r="S8" s="1">
        <f t="shared" si="0"/>
        <v>0.85088974309451748</v>
      </c>
      <c r="T8" s="1">
        <f t="shared" si="0"/>
        <v>0.59335211755633843</v>
      </c>
      <c r="U8" s="1">
        <f t="shared" si="0"/>
        <v>0</v>
      </c>
      <c r="V8" s="1">
        <f t="shared" si="0"/>
        <v>0.7269141279536675</v>
      </c>
      <c r="W8" s="1">
        <f t="shared" si="1"/>
        <v>1</v>
      </c>
      <c r="X8" s="1">
        <f t="shared" si="1"/>
        <v>0.82967846188701722</v>
      </c>
    </row>
    <row r="9" spans="1:24" x14ac:dyDescent="0.3">
      <c r="A9" t="s">
        <v>17</v>
      </c>
      <c r="B9">
        <f>IF(PVL5_mtx_c!B9=0,0,PVL5_mtx_c!B9-3.28)</f>
        <v>18.397144645916811</v>
      </c>
      <c r="C9">
        <f>IF(PVL5_mtx_c!C9=0,0,PVL5_mtx_c!C9-3.28)</f>
        <v>13.34888150177275</v>
      </c>
      <c r="D9">
        <f>IF(PVL5_mtx_c!D9=0,0,PVL5_mtx_c!D9-3.28)</f>
        <v>9.6785685937915229</v>
      </c>
      <c r="E9">
        <f>IF(PVL5_mtx_c!E9=0,0,PVL5_mtx_c!E9-3.28)</f>
        <v>8.3182455569797273</v>
      </c>
      <c r="F9">
        <f>IF(PVL5_mtx_c!F9=0,0,PVL5_mtx_c!F9-3.28)</f>
        <v>7.4072494122669372</v>
      </c>
      <c r="G9">
        <f>IF(PVL5_mtx_c!G9=0,0,PVL5_mtx_c!G9-3.28)</f>
        <v>2.4768394106488674</v>
      </c>
      <c r="H9">
        <f>IF(PVL5_mtx_c!H9=0,0,PVL5_mtx_c!H9-3.28)</f>
        <v>27.885655776832291</v>
      </c>
      <c r="I9">
        <f>IF(PVL5_mtx_c!I9=0,0,PVL5_mtx_c!I9-3.28)</f>
        <v>0</v>
      </c>
      <c r="J9">
        <f>IF(PVL5_mtx_c!J9=0,0,PVL5_mtx_c!J9-3.28)</f>
        <v>11.948424081302701</v>
      </c>
      <c r="K9">
        <f>IF(PVL5_mtx_c!K9=0,0,PVL5_mtx_c!K9-3.28)</f>
        <v>1.0802866878222592</v>
      </c>
      <c r="O9" s="1">
        <f t="shared" si="2"/>
        <v>0.47957073214088292</v>
      </c>
      <c r="P9" s="1">
        <f t="shared" si="0"/>
        <v>0.34797426439150658</v>
      </c>
      <c r="Q9" s="1">
        <f t="shared" si="0"/>
        <v>0.25229775141386063</v>
      </c>
      <c r="R9" s="1">
        <f t="shared" si="0"/>
        <v>0.21683729669287574</v>
      </c>
      <c r="S9" s="1">
        <f t="shared" si="0"/>
        <v>0.19308974801040127</v>
      </c>
      <c r="T9" s="1">
        <f t="shared" si="0"/>
        <v>6.4565437323117592E-2</v>
      </c>
      <c r="U9" s="1">
        <f t="shared" si="0"/>
        <v>0.7269141279536675</v>
      </c>
      <c r="V9" s="1">
        <f t="shared" si="0"/>
        <v>0</v>
      </c>
      <c r="W9" s="1">
        <f t="shared" si="1"/>
        <v>0.31146759972188803</v>
      </c>
      <c r="X9" s="1">
        <f t="shared" si="1"/>
        <v>2.8160559030879564E-2</v>
      </c>
    </row>
    <row r="10" spans="1:24" x14ac:dyDescent="0.3">
      <c r="A10" t="s">
        <v>18</v>
      </c>
      <c r="B10">
        <f>IF(PVL5_mtx_c!B10=0,0,PVL5_mtx_c!B10-3.28)</f>
        <v>29.251787531582096</v>
      </c>
      <c r="C10">
        <f>IF(PVL5_mtx_c!C10=0,0,PVL5_mtx_c!C10-3.28)</f>
        <v>26.481102130129521</v>
      </c>
      <c r="D10">
        <f>IF(PVL5_mtx_c!D10=0,0,PVL5_mtx_c!D10-3.28)</f>
        <v>21.307649338641543</v>
      </c>
      <c r="E10">
        <f>IF(PVL5_mtx_c!E10=0,0,PVL5_mtx_c!E10-3.28)</f>
        <v>21.742665725297933</v>
      </c>
      <c r="F10">
        <f>IF(PVL5_mtx_c!F10=0,0,PVL5_mtx_c!F10-3.28)</f>
        <v>2.4900779890743245</v>
      </c>
      <c r="G10">
        <f>IF(PVL5_mtx_c!G10=0,0,PVL5_mtx_c!G10-3.28)</f>
        <v>13.821654890682362</v>
      </c>
      <c r="H10">
        <f>IF(PVL5_mtx_c!H10=0,0,PVL5_mtx_c!H10-3.28)</f>
        <v>38.361691848434788</v>
      </c>
      <c r="I10">
        <f>IF(PVL5_mtx_c!I10=0,0,PVL5_mtx_c!I10-3.28)</f>
        <v>11.948424081302701</v>
      </c>
      <c r="J10">
        <f>IF(PVL5_mtx_c!J10=0,0,PVL5_mtx_c!J10-3.28)</f>
        <v>0</v>
      </c>
      <c r="K10">
        <f>IF(PVL5_mtx_c!K10=0,0,PVL5_mtx_c!K10-3.28)</f>
        <v>8.3520806393353375</v>
      </c>
      <c r="O10" s="1">
        <f t="shared" si="2"/>
        <v>0.76252600242852975</v>
      </c>
      <c r="P10" s="1">
        <f t="shared" si="0"/>
        <v>0.69030068420222679</v>
      </c>
      <c r="Q10" s="1">
        <f t="shared" si="0"/>
        <v>0.55544081378962762</v>
      </c>
      <c r="R10" s="1">
        <f t="shared" si="0"/>
        <v>0.56678067826628098</v>
      </c>
      <c r="S10" s="1">
        <f t="shared" si="0"/>
        <v>6.4910536243096464E-2</v>
      </c>
      <c r="T10" s="1">
        <f t="shared" si="0"/>
        <v>0.36029836601813758</v>
      </c>
      <c r="U10" s="1">
        <f t="shared" si="0"/>
        <v>1</v>
      </c>
      <c r="V10" s="1">
        <f t="shared" si="0"/>
        <v>0.31146759972188803</v>
      </c>
      <c r="W10" s="1">
        <f t="shared" si="1"/>
        <v>0</v>
      </c>
      <c r="X10" s="1">
        <f t="shared" si="1"/>
        <v>0.21771929852140018</v>
      </c>
    </row>
    <row r="11" spans="1:24" x14ac:dyDescent="0.3">
      <c r="A11" t="s">
        <v>19</v>
      </c>
      <c r="B11">
        <f>IF(PVL5_mtx_c!B11=0,0,PVL5_mtx_c!B11-3.28)</f>
        <v>22.31944140015559</v>
      </c>
      <c r="C11">
        <f>IF(PVL5_mtx_c!C11=0,0,PVL5_mtx_c!C11-3.28)</f>
        <v>17.628871322957629</v>
      </c>
      <c r="D11">
        <f>IF(PVL5_mtx_c!D11=0,0,PVL5_mtx_c!D11-3.28)</f>
        <v>13.610011841322079</v>
      </c>
      <c r="E11">
        <f>IF(PVL5_mtx_c!E11=0,0,PVL5_mtx_c!E11-3.28)</f>
        <v>12.592495077964271</v>
      </c>
      <c r="F11">
        <f>IF(PVL5_mtx_c!F11=0,0,PVL5_mtx_c!F11-3.28)</f>
        <v>4.9501701075980211</v>
      </c>
      <c r="G11">
        <f>IF(PVL5_mtx_c!G11=0,0,PVL5_mtx_c!G11-3.28)</f>
        <v>5.8405482291362301</v>
      </c>
      <c r="H11">
        <f>IF(PVL5_mtx_c!H11=0,0,PVL5_mtx_c!H11-3.28)</f>
        <v>31.827869488193102</v>
      </c>
      <c r="I11">
        <f>IF(PVL5_mtx_c!I11=0,0,PVL5_mtx_c!I11-3.28)</f>
        <v>1.0802866878222592</v>
      </c>
      <c r="J11">
        <f>IF(PVL5_mtx_c!J11=0,0,PVL5_mtx_c!J11-3.28)</f>
        <v>8.3520806393353375</v>
      </c>
      <c r="K11">
        <f>IF(PVL5_mtx_c!K11=0,0,PVL5_mtx_c!K11-3.28)</f>
        <v>0</v>
      </c>
      <c r="O11" s="1">
        <f t="shared" si="2"/>
        <v>0.58181587736898144</v>
      </c>
      <c r="P11" s="1">
        <f t="shared" si="0"/>
        <v>0.45954363516104707</v>
      </c>
      <c r="Q11" s="1">
        <f t="shared" si="0"/>
        <v>0.35478132442892729</v>
      </c>
      <c r="R11" s="1">
        <f t="shared" si="0"/>
        <v>0.32825703119968269</v>
      </c>
      <c r="S11" s="1">
        <f t="shared" si="0"/>
        <v>0.12903941064841215</v>
      </c>
      <c r="T11" s="1">
        <f t="shared" si="0"/>
        <v>0.15224949546573591</v>
      </c>
      <c r="U11" s="1">
        <f t="shared" si="0"/>
        <v>0.82967846188701722</v>
      </c>
      <c r="V11" s="1">
        <f t="shared" si="0"/>
        <v>2.8160559030879564E-2</v>
      </c>
      <c r="W11" s="1">
        <f t="shared" si="1"/>
        <v>0.21771929852140018</v>
      </c>
      <c r="X11" s="1">
        <f t="shared" si="1"/>
        <v>0</v>
      </c>
    </row>
  </sheetData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AACDA-E501-4FB8-9B6C-DD7E4CFF5427}">
  <sheetPr>
    <tabColor rgb="FF00B050"/>
  </sheetPr>
  <dimension ref="A1:K18"/>
  <sheetViews>
    <sheetView workbookViewId="0">
      <selection activeCell="D17" sqref="D17"/>
    </sheetView>
  </sheetViews>
  <sheetFormatPr defaultRowHeight="14.4" x14ac:dyDescent="0.3"/>
  <cols>
    <col min="1" max="1" width="6.88671875" customWidth="1"/>
  </cols>
  <sheetData>
    <row r="1" spans="1:11" x14ac:dyDescent="0.3"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</row>
    <row r="2" spans="1:11" x14ac:dyDescent="0.3">
      <c r="A2" t="s">
        <v>10</v>
      </c>
      <c r="B2" s="1">
        <v>0</v>
      </c>
      <c r="C2" s="1">
        <v>0.10156968308812482</v>
      </c>
      <c r="D2" s="1">
        <v>0.14178974998645349</v>
      </c>
      <c r="E2" s="1">
        <v>0.19822210327945794</v>
      </c>
      <c r="F2" s="1">
        <v>0.61183398767748842</v>
      </c>
      <c r="G2" s="1">
        <v>0.34638303702941975</v>
      </c>
      <c r="H2" s="1">
        <v>0.16178009984030517</v>
      </c>
      <c r="I2" s="1">
        <v>0.47957073214088292</v>
      </c>
      <c r="J2" s="1">
        <v>0.76252600242852975</v>
      </c>
      <c r="K2" s="1">
        <v>0.58181587736898144</v>
      </c>
    </row>
    <row r="3" spans="1:11" x14ac:dyDescent="0.3">
      <c r="A3" t="s">
        <v>11</v>
      </c>
      <c r="B3" s="1">
        <v>0.10156968308812482</v>
      </c>
      <c r="C3">
        <v>0</v>
      </c>
      <c r="D3">
        <v>6.3230039037576943E-2</v>
      </c>
      <c r="E3" s="1">
        <v>4.6371861026857718E-2</v>
      </c>
      <c r="F3" s="1">
        <v>0.5419770071435549</v>
      </c>
      <c r="G3" s="1">
        <v>0.24556711707522416</v>
      </c>
      <c r="H3" s="1">
        <v>0.3193305764564357</v>
      </c>
      <c r="I3" s="1">
        <v>0.34797426439150658</v>
      </c>
      <c r="J3" s="1">
        <v>0.69030068420222679</v>
      </c>
      <c r="K3" s="1">
        <v>0.45954363516104707</v>
      </c>
    </row>
    <row r="4" spans="1:11" x14ac:dyDescent="0.3">
      <c r="A4" t="s">
        <v>12</v>
      </c>
      <c r="B4" s="1">
        <v>0.14178974998645349</v>
      </c>
      <c r="C4">
        <v>6.3230039037576943E-2</v>
      </c>
      <c r="D4">
        <v>0</v>
      </c>
      <c r="E4" s="1">
        <v>1.0730475703001608E-2</v>
      </c>
      <c r="F4" s="1">
        <v>0.40565233895038588</v>
      </c>
      <c r="G4" s="1">
        <v>0.12101537300173805</v>
      </c>
      <c r="H4" s="1">
        <v>0.38936352306534805</v>
      </c>
      <c r="I4" s="1">
        <v>0.25229775141386063</v>
      </c>
      <c r="J4" s="1">
        <v>0.55544081378962762</v>
      </c>
      <c r="K4" s="1">
        <v>0.35478132442892729</v>
      </c>
    </row>
    <row r="5" spans="1:11" x14ac:dyDescent="0.3">
      <c r="A5" t="s">
        <v>13</v>
      </c>
      <c r="B5" s="1">
        <v>0.19822210327945794</v>
      </c>
      <c r="C5" s="1">
        <v>4.6371861026857718E-2</v>
      </c>
      <c r="D5" s="1">
        <v>1.0730475703001608E-2</v>
      </c>
      <c r="E5" s="1">
        <v>0</v>
      </c>
      <c r="F5" s="1">
        <v>0.42349241132120624</v>
      </c>
      <c r="G5" s="1">
        <v>0.12202634002653373</v>
      </c>
      <c r="H5" s="1">
        <v>0.43730461313270663</v>
      </c>
      <c r="I5" s="1">
        <v>0.21683729669287574</v>
      </c>
      <c r="J5" s="1">
        <v>0.56678067826628098</v>
      </c>
      <c r="K5" s="1">
        <v>0.32825703119968269</v>
      </c>
    </row>
    <row r="6" spans="1:11" x14ac:dyDescent="0.3">
      <c r="A6" t="s">
        <v>14</v>
      </c>
      <c r="B6" s="1">
        <v>0.61183398767748842</v>
      </c>
      <c r="C6" s="1">
        <v>0.5419770071435549</v>
      </c>
      <c r="D6" s="1">
        <v>0.40565233895038588</v>
      </c>
      <c r="E6" s="1">
        <v>0.42349241132120624</v>
      </c>
      <c r="F6" s="1">
        <v>0</v>
      </c>
      <c r="G6" s="1">
        <v>0.21396839378206428</v>
      </c>
      <c r="H6" s="1">
        <v>0.85088974309451748</v>
      </c>
      <c r="I6" s="1">
        <v>0.19308974801040127</v>
      </c>
      <c r="J6" s="1">
        <v>6.4910536243096464E-2</v>
      </c>
      <c r="K6" s="1">
        <v>0.12903941064841215</v>
      </c>
    </row>
    <row r="7" spans="1:11" x14ac:dyDescent="0.3">
      <c r="A7" t="s">
        <v>15</v>
      </c>
      <c r="B7" s="1">
        <v>0.34638303702941975</v>
      </c>
      <c r="C7" s="1">
        <v>0.24556711707522416</v>
      </c>
      <c r="D7" s="1">
        <v>0.12101537300173805</v>
      </c>
      <c r="E7" s="1">
        <v>0.12202634002653373</v>
      </c>
      <c r="F7" s="1">
        <v>0.21396839378206428</v>
      </c>
      <c r="G7" s="1">
        <v>0</v>
      </c>
      <c r="H7" s="1">
        <v>0.59335211755633843</v>
      </c>
      <c r="I7" s="1">
        <v>6.4565437323117592E-2</v>
      </c>
      <c r="J7" s="1">
        <v>0.36029836601813758</v>
      </c>
      <c r="K7" s="1">
        <v>0.15224949546573591</v>
      </c>
    </row>
    <row r="8" spans="1:11" x14ac:dyDescent="0.3">
      <c r="A8" t="s">
        <v>16</v>
      </c>
      <c r="B8" s="1">
        <v>0.16178009984030517</v>
      </c>
      <c r="C8" s="1">
        <v>0.3193305764564357</v>
      </c>
      <c r="D8" s="1">
        <v>0.38936352306534805</v>
      </c>
      <c r="E8" s="1">
        <v>0.43730461313270663</v>
      </c>
      <c r="F8" s="1">
        <v>0.85088974309451748</v>
      </c>
      <c r="G8" s="1">
        <v>0.59335211755633843</v>
      </c>
      <c r="H8" s="1">
        <v>0</v>
      </c>
      <c r="I8" s="1">
        <v>0.7269141279536675</v>
      </c>
      <c r="J8" s="1">
        <v>1</v>
      </c>
      <c r="K8" s="1">
        <v>0.82967846188701722</v>
      </c>
    </row>
    <row r="9" spans="1:11" x14ac:dyDescent="0.3">
      <c r="A9" t="s">
        <v>17</v>
      </c>
      <c r="B9" s="1">
        <v>0.47957073214088292</v>
      </c>
      <c r="C9" s="1">
        <v>0.34797426439150658</v>
      </c>
      <c r="D9" s="1">
        <v>0.25229775141386063</v>
      </c>
      <c r="E9" s="1">
        <v>0.21683729669287574</v>
      </c>
      <c r="F9" s="1">
        <v>0.19308974801040127</v>
      </c>
      <c r="G9" s="1">
        <v>6.4565437323117592E-2</v>
      </c>
      <c r="H9" s="1">
        <v>0.7269141279536675</v>
      </c>
      <c r="I9" s="1">
        <v>0</v>
      </c>
      <c r="J9" s="1">
        <v>0.31146759972188803</v>
      </c>
      <c r="K9" s="1">
        <v>2.8160559030879564E-2</v>
      </c>
    </row>
    <row r="10" spans="1:11" x14ac:dyDescent="0.3">
      <c r="A10" t="s">
        <v>18</v>
      </c>
      <c r="B10" s="1">
        <v>0.76252600242852975</v>
      </c>
      <c r="C10" s="1">
        <v>0.69030068420222679</v>
      </c>
      <c r="D10" s="1">
        <v>0.55544081378962762</v>
      </c>
      <c r="E10" s="1">
        <v>0.56678067826628098</v>
      </c>
      <c r="F10" s="1">
        <v>6.4910536243096464E-2</v>
      </c>
      <c r="G10" s="1">
        <v>0.36029836601813758</v>
      </c>
      <c r="H10" s="1">
        <v>1</v>
      </c>
      <c r="I10" s="1">
        <v>0.31146759972188803</v>
      </c>
      <c r="J10" s="1">
        <v>0</v>
      </c>
      <c r="K10" s="1">
        <v>0.21771929852140018</v>
      </c>
    </row>
    <row r="11" spans="1:11" x14ac:dyDescent="0.3">
      <c r="A11" t="s">
        <v>19</v>
      </c>
      <c r="B11" s="1">
        <v>0.58181587736898144</v>
      </c>
      <c r="C11" s="1">
        <v>0.45954363516104707</v>
      </c>
      <c r="D11" s="1">
        <v>0.35478132442892729</v>
      </c>
      <c r="E11" s="1">
        <v>0.32825703119968269</v>
      </c>
      <c r="F11" s="1">
        <v>0.12903941064841215</v>
      </c>
      <c r="G11" s="1">
        <v>0.15224949546573591</v>
      </c>
      <c r="H11" s="1">
        <v>0.82967846188701722</v>
      </c>
      <c r="I11" s="1">
        <v>2.8160559030879564E-2</v>
      </c>
      <c r="J11" s="1">
        <v>0.21771929852140018</v>
      </c>
      <c r="K11" s="1">
        <v>0</v>
      </c>
    </row>
    <row r="18" spans="3:4" x14ac:dyDescent="0.3">
      <c r="C18" s="1"/>
      <c r="D18" s="1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7811D-C2FC-41D8-A403-33005E773847}">
  <dimension ref="A1:B11"/>
  <sheetViews>
    <sheetView workbookViewId="0">
      <selection activeCell="E1" sqref="E1:E1048576"/>
    </sheetView>
  </sheetViews>
  <sheetFormatPr defaultRowHeight="14.4" x14ac:dyDescent="0.3"/>
  <sheetData>
    <row r="1" spans="1:2" x14ac:dyDescent="0.3">
      <c r="A1" t="s">
        <v>25</v>
      </c>
      <c r="B1" t="s">
        <v>26</v>
      </c>
    </row>
    <row r="2" spans="1:2" x14ac:dyDescent="0.3">
      <c r="A2" t="s">
        <v>10</v>
      </c>
      <c r="B2" t="s">
        <v>0</v>
      </c>
    </row>
    <row r="3" spans="1:2" x14ac:dyDescent="0.3">
      <c r="A3" t="s">
        <v>11</v>
      </c>
      <c r="B3" t="s">
        <v>1</v>
      </c>
    </row>
    <row r="4" spans="1:2" x14ac:dyDescent="0.3">
      <c r="A4" t="s">
        <v>12</v>
      </c>
      <c r="B4" t="s">
        <v>2</v>
      </c>
    </row>
    <row r="5" spans="1:2" x14ac:dyDescent="0.3">
      <c r="A5" t="s">
        <v>13</v>
      </c>
      <c r="B5" t="s">
        <v>3</v>
      </c>
    </row>
    <row r="6" spans="1:2" x14ac:dyDescent="0.3">
      <c r="A6" t="s">
        <v>14</v>
      </c>
      <c r="B6" t="s">
        <v>4</v>
      </c>
    </row>
    <row r="7" spans="1:2" x14ac:dyDescent="0.3">
      <c r="A7" t="s">
        <v>15</v>
      </c>
      <c r="B7" t="s">
        <v>5</v>
      </c>
    </row>
    <row r="8" spans="1:2" x14ac:dyDescent="0.3">
      <c r="A8" t="s">
        <v>16</v>
      </c>
      <c r="B8" t="s">
        <v>6</v>
      </c>
    </row>
    <row r="9" spans="1:2" x14ac:dyDescent="0.3">
      <c r="A9" t="s">
        <v>17</v>
      </c>
      <c r="B9" t="s">
        <v>7</v>
      </c>
    </row>
    <row r="10" spans="1:2" x14ac:dyDescent="0.3">
      <c r="A10" t="s">
        <v>18</v>
      </c>
      <c r="B10" t="s">
        <v>8</v>
      </c>
    </row>
    <row r="11" spans="1:2" x14ac:dyDescent="0.3">
      <c r="A11" t="s">
        <v>19</v>
      </c>
      <c r="B11" t="s">
        <v>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0725A-2922-4160-B91D-B4C840C78C40}">
  <sheetPr>
    <tabColor theme="5"/>
  </sheetPr>
  <dimension ref="A1:C11"/>
  <sheetViews>
    <sheetView workbookViewId="0">
      <selection sqref="A1:C11"/>
    </sheetView>
  </sheetViews>
  <sheetFormatPr defaultRowHeight="14.4" x14ac:dyDescent="0.3"/>
  <sheetData>
    <row r="1" spans="1:3" x14ac:dyDescent="0.3">
      <c r="A1" t="s">
        <v>40</v>
      </c>
      <c r="B1" t="s">
        <v>28</v>
      </c>
      <c r="C1" t="s">
        <v>29</v>
      </c>
    </row>
    <row r="2" spans="1:3" x14ac:dyDescent="0.3">
      <c r="A2" t="s">
        <v>30</v>
      </c>
      <c r="B2">
        <v>27.38</v>
      </c>
      <c r="C2">
        <v>44.48</v>
      </c>
    </row>
    <row r="3" spans="1:3" x14ac:dyDescent="0.3">
      <c r="A3" t="s">
        <v>31</v>
      </c>
      <c r="B3">
        <v>39.97</v>
      </c>
      <c r="C3">
        <v>42.27</v>
      </c>
    </row>
    <row r="4" spans="1:3" x14ac:dyDescent="0.3">
      <c r="A4" t="s">
        <v>32</v>
      </c>
      <c r="B4">
        <v>37.380000000000003</v>
      </c>
      <c r="C4">
        <v>45.54</v>
      </c>
    </row>
    <row r="5" spans="1:3" x14ac:dyDescent="0.3">
      <c r="A5" t="s">
        <v>33</v>
      </c>
      <c r="B5">
        <v>40.880000000000003</v>
      </c>
      <c r="C5">
        <v>46.62</v>
      </c>
    </row>
    <row r="6" spans="1:3" x14ac:dyDescent="0.3">
      <c r="A6" t="s">
        <v>34</v>
      </c>
      <c r="B6">
        <v>12.6</v>
      </c>
      <c r="C6">
        <v>39.25</v>
      </c>
    </row>
    <row r="7" spans="1:3" x14ac:dyDescent="0.3">
      <c r="A7" t="s">
        <v>35</v>
      </c>
      <c r="B7">
        <v>19.100000000000001</v>
      </c>
      <c r="C7">
        <v>42.1</v>
      </c>
    </row>
    <row r="8" spans="1:3" x14ac:dyDescent="0.3">
      <c r="A8" t="s">
        <v>36</v>
      </c>
      <c r="B8">
        <v>46.27</v>
      </c>
      <c r="C8">
        <v>17.77</v>
      </c>
    </row>
    <row r="9" spans="1:3" x14ac:dyDescent="0.3">
      <c r="A9" t="s">
        <v>37</v>
      </c>
      <c r="B9">
        <v>23.75</v>
      </c>
      <c r="C9">
        <v>26.76</v>
      </c>
    </row>
    <row r="10" spans="1:3" x14ac:dyDescent="0.3">
      <c r="A10" t="s">
        <v>38</v>
      </c>
      <c r="B10">
        <v>19.34</v>
      </c>
      <c r="C10">
        <v>27.16</v>
      </c>
    </row>
    <row r="11" spans="1:3" x14ac:dyDescent="0.3">
      <c r="A11" t="s">
        <v>39</v>
      </c>
      <c r="B11">
        <v>26.97</v>
      </c>
      <c r="C11">
        <v>35.97</v>
      </c>
    </row>
  </sheetData>
  <phoneticPr fontId="1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C5865-9A94-486B-AA78-3FDEAD05B7C5}">
  <sheetPr>
    <tabColor theme="4"/>
  </sheetPr>
  <dimension ref="A1:C11"/>
  <sheetViews>
    <sheetView workbookViewId="0">
      <selection activeCell="F21" sqref="F21"/>
    </sheetView>
  </sheetViews>
  <sheetFormatPr defaultRowHeight="14.4" x14ac:dyDescent="0.3"/>
  <sheetData>
    <row r="1" spans="1:3" x14ac:dyDescent="0.3">
      <c r="A1" t="s">
        <v>40</v>
      </c>
      <c r="B1" t="s">
        <v>28</v>
      </c>
      <c r="C1" t="s">
        <v>29</v>
      </c>
    </row>
    <row r="2" spans="1:3" x14ac:dyDescent="0.3">
      <c r="A2" t="s">
        <v>30</v>
      </c>
      <c r="B2">
        <v>31.37</v>
      </c>
      <c r="C2">
        <v>17.350000000000001</v>
      </c>
    </row>
    <row r="3" spans="1:3" x14ac:dyDescent="0.3">
      <c r="A3" t="s">
        <v>31</v>
      </c>
      <c r="B3">
        <v>30.96</v>
      </c>
      <c r="C3">
        <v>36.94</v>
      </c>
    </row>
    <row r="4" spans="1:3" x14ac:dyDescent="0.3">
      <c r="A4" t="s">
        <v>32</v>
      </c>
      <c r="B4">
        <v>31.37</v>
      </c>
      <c r="C4">
        <v>24.59</v>
      </c>
    </row>
    <row r="5" spans="1:3" x14ac:dyDescent="0.3">
      <c r="A5" t="s">
        <v>33</v>
      </c>
      <c r="B5">
        <v>31.41</v>
      </c>
      <c r="C5">
        <v>28.85</v>
      </c>
    </row>
    <row r="6" spans="1:3" x14ac:dyDescent="0.3">
      <c r="A6" t="s">
        <v>34</v>
      </c>
      <c r="B6">
        <v>18.25</v>
      </c>
      <c r="C6">
        <v>28.85</v>
      </c>
    </row>
    <row r="7" spans="1:3" x14ac:dyDescent="0.3">
      <c r="A7" t="s">
        <v>35</v>
      </c>
      <c r="B7">
        <v>35.270000000000003</v>
      </c>
      <c r="C7">
        <v>17.350000000000001</v>
      </c>
    </row>
    <row r="8" spans="1:3" x14ac:dyDescent="0.3">
      <c r="A8" t="s">
        <v>36</v>
      </c>
      <c r="B8">
        <v>54.58</v>
      </c>
      <c r="C8">
        <v>3.14</v>
      </c>
    </row>
    <row r="9" spans="1:3" x14ac:dyDescent="0.3">
      <c r="A9" t="s">
        <v>37</v>
      </c>
      <c r="B9">
        <v>26.55</v>
      </c>
      <c r="C9">
        <v>24.52</v>
      </c>
    </row>
    <row r="10" spans="1:3" x14ac:dyDescent="0.3">
      <c r="A10" t="s">
        <v>38</v>
      </c>
      <c r="B10">
        <v>18.25</v>
      </c>
      <c r="C10">
        <v>24.59</v>
      </c>
    </row>
    <row r="11" spans="1:3" x14ac:dyDescent="0.3">
      <c r="A11" t="s">
        <v>39</v>
      </c>
      <c r="B11">
        <v>35.270000000000003</v>
      </c>
      <c r="C11">
        <v>36.94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1C230-3946-4C1A-836E-5B705BD7E398}">
  <sheetPr>
    <tabColor rgb="FF7030A0"/>
  </sheetPr>
  <dimension ref="A1:C11"/>
  <sheetViews>
    <sheetView workbookViewId="0">
      <selection activeCell="B2" sqref="B2"/>
    </sheetView>
  </sheetViews>
  <sheetFormatPr defaultRowHeight="14.4" x14ac:dyDescent="0.3"/>
  <sheetData>
    <row r="1" spans="1:3" x14ac:dyDescent="0.3">
      <c r="A1" t="s">
        <v>40</v>
      </c>
      <c r="B1" t="s">
        <v>28</v>
      </c>
      <c r="C1" t="s">
        <v>29</v>
      </c>
    </row>
    <row r="2" spans="1:3" x14ac:dyDescent="0.3">
      <c r="A2" t="s">
        <v>30</v>
      </c>
      <c r="B2">
        <v>10.039999999999999</v>
      </c>
      <c r="C2">
        <v>55.66</v>
      </c>
    </row>
    <row r="3" spans="1:3" x14ac:dyDescent="0.3">
      <c r="A3" t="s">
        <v>31</v>
      </c>
      <c r="B3">
        <v>6.57</v>
      </c>
      <c r="C3">
        <v>43.04</v>
      </c>
    </row>
    <row r="4" spans="1:3" x14ac:dyDescent="0.3">
      <c r="A4" t="s">
        <v>32</v>
      </c>
      <c r="B4">
        <v>14.46</v>
      </c>
      <c r="C4">
        <v>49.63</v>
      </c>
    </row>
    <row r="5" spans="1:3" x14ac:dyDescent="0.3">
      <c r="A5" t="s">
        <v>33</v>
      </c>
      <c r="B5">
        <v>18.260000000000002</v>
      </c>
      <c r="C5">
        <v>48.52</v>
      </c>
    </row>
    <row r="6" spans="1:3" x14ac:dyDescent="0.3">
      <c r="A6" t="s">
        <v>34</v>
      </c>
      <c r="B6">
        <v>48.91</v>
      </c>
      <c r="C6">
        <v>44.73</v>
      </c>
    </row>
    <row r="7" spans="1:3" x14ac:dyDescent="0.3">
      <c r="A7" t="s">
        <v>35</v>
      </c>
      <c r="B7">
        <v>4.8600000000000003</v>
      </c>
      <c r="C7">
        <v>51.27</v>
      </c>
    </row>
    <row r="8" spans="1:3" x14ac:dyDescent="0.3">
      <c r="A8" t="s">
        <v>36</v>
      </c>
      <c r="B8">
        <v>12.96</v>
      </c>
      <c r="C8">
        <v>35.39</v>
      </c>
    </row>
    <row r="9" spans="1:3" x14ac:dyDescent="0.3">
      <c r="A9" t="s">
        <v>37</v>
      </c>
      <c r="B9">
        <v>14.46</v>
      </c>
      <c r="C9">
        <v>42.22</v>
      </c>
    </row>
    <row r="10" spans="1:3" x14ac:dyDescent="0.3">
      <c r="A10" t="s">
        <v>38</v>
      </c>
      <c r="B10">
        <v>52.09</v>
      </c>
      <c r="C10">
        <v>39.770000000000003</v>
      </c>
    </row>
    <row r="11" spans="1:3" x14ac:dyDescent="0.3">
      <c r="A11" t="s">
        <v>39</v>
      </c>
      <c r="B11">
        <v>10.9</v>
      </c>
      <c r="C11">
        <v>43.48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8816D-9951-4CA9-B113-04A1F69113E6}">
  <sheetPr>
    <tabColor rgb="FFFFC000"/>
  </sheetPr>
  <dimension ref="A1:C11"/>
  <sheetViews>
    <sheetView workbookViewId="0">
      <selection activeCell="B12" sqref="B12"/>
    </sheetView>
  </sheetViews>
  <sheetFormatPr defaultRowHeight="14.4" x14ac:dyDescent="0.3"/>
  <sheetData>
    <row r="1" spans="1:3" x14ac:dyDescent="0.3">
      <c r="A1" t="s">
        <v>40</v>
      </c>
      <c r="B1" t="s">
        <v>28</v>
      </c>
      <c r="C1" t="s">
        <v>29</v>
      </c>
    </row>
    <row r="2" spans="1:3" x14ac:dyDescent="0.3">
      <c r="A2" t="s">
        <v>30</v>
      </c>
      <c r="B2">
        <v>54.21</v>
      </c>
      <c r="C2">
        <v>4.74</v>
      </c>
    </row>
    <row r="3" spans="1:3" x14ac:dyDescent="0.3">
      <c r="A3" t="s">
        <v>31</v>
      </c>
      <c r="B3">
        <v>3.91</v>
      </c>
      <c r="C3">
        <v>14.14</v>
      </c>
    </row>
    <row r="4" spans="1:3" x14ac:dyDescent="0.3">
      <c r="A4" t="s">
        <v>32</v>
      </c>
      <c r="B4">
        <v>54.21</v>
      </c>
      <c r="C4">
        <v>12.79</v>
      </c>
    </row>
    <row r="5" spans="1:3" x14ac:dyDescent="0.3">
      <c r="A5" t="s">
        <v>33</v>
      </c>
      <c r="B5">
        <v>54.21</v>
      </c>
      <c r="C5">
        <v>15.11</v>
      </c>
    </row>
    <row r="6" spans="1:3" x14ac:dyDescent="0.3">
      <c r="A6" t="s">
        <v>34</v>
      </c>
      <c r="B6">
        <v>51.98</v>
      </c>
      <c r="C6">
        <v>54.09</v>
      </c>
    </row>
    <row r="7" spans="1:3" x14ac:dyDescent="0.3">
      <c r="A7" t="s">
        <v>35</v>
      </c>
      <c r="B7">
        <v>37.46</v>
      </c>
      <c r="C7">
        <v>50.41</v>
      </c>
    </row>
    <row r="8" spans="1:3" x14ac:dyDescent="0.3">
      <c r="A8" t="s">
        <v>36</v>
      </c>
      <c r="B8">
        <v>3.71</v>
      </c>
      <c r="C8">
        <v>3.1</v>
      </c>
    </row>
    <row r="9" spans="1:3" x14ac:dyDescent="0.3">
      <c r="A9" t="s">
        <v>37</v>
      </c>
      <c r="B9">
        <v>20.23</v>
      </c>
      <c r="C9">
        <v>47.39</v>
      </c>
    </row>
    <row r="10" spans="1:3" x14ac:dyDescent="0.3">
      <c r="A10" t="s">
        <v>38</v>
      </c>
      <c r="B10">
        <v>32.68</v>
      </c>
      <c r="C10">
        <v>52.97</v>
      </c>
    </row>
    <row r="11" spans="1:3" x14ac:dyDescent="0.3">
      <c r="A11" t="s">
        <v>39</v>
      </c>
      <c r="B11">
        <v>4.1500000000000004</v>
      </c>
      <c r="C11">
        <v>8.68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B8CF0-A86C-4EC6-B178-F54B69CAE3B0}">
  <sheetPr>
    <tabColor rgb="FF00B050"/>
  </sheetPr>
  <dimension ref="A1:C11"/>
  <sheetViews>
    <sheetView workbookViewId="0">
      <selection activeCell="U24" sqref="U24"/>
    </sheetView>
  </sheetViews>
  <sheetFormatPr defaultRowHeight="14.4" x14ac:dyDescent="0.3"/>
  <sheetData>
    <row r="1" spans="1:3" x14ac:dyDescent="0.3">
      <c r="A1" t="s">
        <v>40</v>
      </c>
      <c r="B1" t="s">
        <v>28</v>
      </c>
      <c r="C1" t="s">
        <v>29</v>
      </c>
    </row>
    <row r="2" spans="1:3" x14ac:dyDescent="0.3">
      <c r="A2" t="s">
        <v>30</v>
      </c>
      <c r="B2">
        <v>20.100000000000001</v>
      </c>
      <c r="C2">
        <v>44.03</v>
      </c>
    </row>
    <row r="3" spans="1:3" x14ac:dyDescent="0.3">
      <c r="A3" t="s">
        <v>31</v>
      </c>
      <c r="B3">
        <v>23.21</v>
      </c>
      <c r="C3">
        <v>37.51</v>
      </c>
    </row>
    <row r="4" spans="1:3" x14ac:dyDescent="0.3">
      <c r="A4" t="s">
        <v>32</v>
      </c>
      <c r="B4">
        <v>28.1</v>
      </c>
      <c r="C4">
        <v>40.299999999999997</v>
      </c>
    </row>
    <row r="5" spans="1:3" x14ac:dyDescent="0.3">
      <c r="A5" t="s">
        <v>33</v>
      </c>
      <c r="B5">
        <v>28.1</v>
      </c>
      <c r="C5">
        <v>36.64</v>
      </c>
    </row>
    <row r="6" spans="1:3" x14ac:dyDescent="0.3">
      <c r="A6" t="s">
        <v>34</v>
      </c>
      <c r="B6">
        <v>46.79</v>
      </c>
      <c r="C6">
        <v>41.86</v>
      </c>
    </row>
    <row r="7" spans="1:3" x14ac:dyDescent="0.3">
      <c r="A7" t="s">
        <v>35</v>
      </c>
      <c r="B7">
        <v>35.770000000000003</v>
      </c>
      <c r="C7">
        <v>38.61</v>
      </c>
    </row>
    <row r="8" spans="1:3" x14ac:dyDescent="0.3">
      <c r="A8" t="s">
        <v>36</v>
      </c>
      <c r="B8">
        <v>11.34</v>
      </c>
      <c r="C8">
        <v>47.66</v>
      </c>
    </row>
    <row r="9" spans="1:3" x14ac:dyDescent="0.3">
      <c r="A9" t="s">
        <v>37</v>
      </c>
      <c r="B9">
        <v>39.409999999999997</v>
      </c>
      <c r="C9">
        <v>34.15</v>
      </c>
    </row>
    <row r="10" spans="1:3" x14ac:dyDescent="0.3">
      <c r="A10" t="s">
        <v>38</v>
      </c>
      <c r="B10">
        <v>52.56</v>
      </c>
      <c r="C10">
        <v>41.86</v>
      </c>
    </row>
    <row r="11" spans="1:3" x14ac:dyDescent="0.3">
      <c r="A11" t="s">
        <v>39</v>
      </c>
      <c r="B11">
        <v>43.77</v>
      </c>
      <c r="C11">
        <v>34.15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B40A5-43F4-4268-8BC8-CAB4B611EC50}">
  <dimension ref="A1:C46"/>
  <sheetViews>
    <sheetView tabSelected="1" workbookViewId="0">
      <selection activeCell="Q12" sqref="Q12"/>
    </sheetView>
  </sheetViews>
  <sheetFormatPr defaultRowHeight="14.4" x14ac:dyDescent="0.3"/>
  <sheetData>
    <row r="1" spans="1:3" x14ac:dyDescent="0.3">
      <c r="A1" t="s">
        <v>20</v>
      </c>
      <c r="B1" t="s">
        <v>21</v>
      </c>
      <c r="C1" t="s">
        <v>41</v>
      </c>
    </row>
    <row r="2" spans="1:3" x14ac:dyDescent="0.3">
      <c r="A2" t="s">
        <v>10</v>
      </c>
      <c r="B2" t="s">
        <v>11</v>
      </c>
      <c r="C2">
        <v>0.6746503972738398</v>
      </c>
    </row>
    <row r="3" spans="1:3" x14ac:dyDescent="0.3">
      <c r="A3" t="s">
        <v>10</v>
      </c>
      <c r="B3" t="s">
        <v>12</v>
      </c>
      <c r="C3">
        <v>0.63361812445133625</v>
      </c>
    </row>
    <row r="4" spans="1:3" x14ac:dyDescent="0.3">
      <c r="A4" t="s">
        <v>10</v>
      </c>
      <c r="B4" t="s">
        <v>13</v>
      </c>
      <c r="C4">
        <v>0.63361480700760009</v>
      </c>
    </row>
    <row r="5" spans="1:3" x14ac:dyDescent="0.3">
      <c r="A5" t="s">
        <v>10</v>
      </c>
      <c r="B5" t="s">
        <v>14</v>
      </c>
      <c r="C5">
        <v>0.50325792216069443</v>
      </c>
    </row>
    <row r="6" spans="1:3" x14ac:dyDescent="0.3">
      <c r="A6" t="s">
        <v>10</v>
      </c>
      <c r="B6" t="s">
        <v>15</v>
      </c>
      <c r="C6">
        <v>1.313569354489807E-2</v>
      </c>
    </row>
    <row r="7" spans="1:3" x14ac:dyDescent="0.3">
      <c r="A7" t="s">
        <v>10</v>
      </c>
      <c r="B7" t="s">
        <v>16</v>
      </c>
      <c r="C7">
        <v>0.61142744362407986</v>
      </c>
    </row>
    <row r="8" spans="1:3" x14ac:dyDescent="0.3">
      <c r="A8" t="s">
        <v>10</v>
      </c>
      <c r="B8" t="s">
        <v>17</v>
      </c>
      <c r="C8">
        <v>0.67275165650839597</v>
      </c>
    </row>
    <row r="9" spans="1:3" x14ac:dyDescent="0.3">
      <c r="A9" t="s">
        <v>10</v>
      </c>
      <c r="B9" t="s">
        <v>18</v>
      </c>
      <c r="C9">
        <v>0.54136645994052879</v>
      </c>
    </row>
    <row r="10" spans="1:3" x14ac:dyDescent="0.3">
      <c r="A10" t="s">
        <v>10</v>
      </c>
      <c r="B10" t="s">
        <v>19</v>
      </c>
      <c r="C10">
        <v>0.50304412270625343</v>
      </c>
    </row>
    <row r="11" spans="1:3" x14ac:dyDescent="0.3">
      <c r="A11" t="s">
        <v>11</v>
      </c>
      <c r="B11" t="s">
        <v>12</v>
      </c>
      <c r="C11">
        <v>0.2791993672756462</v>
      </c>
    </row>
    <row r="12" spans="1:3" x14ac:dyDescent="0.3">
      <c r="A12" t="s">
        <v>11</v>
      </c>
      <c r="B12" t="s">
        <v>13</v>
      </c>
      <c r="C12">
        <v>0.27919604983190999</v>
      </c>
    </row>
    <row r="13" spans="1:3" x14ac:dyDescent="0.3">
      <c r="A13" t="s">
        <v>11</v>
      </c>
      <c r="B13" t="s">
        <v>14</v>
      </c>
      <c r="C13">
        <v>0.52069108457121716</v>
      </c>
    </row>
    <row r="14" spans="1:3" x14ac:dyDescent="0.3">
      <c r="A14" t="s">
        <v>11</v>
      </c>
      <c r="B14" t="s">
        <v>15</v>
      </c>
      <c r="C14">
        <v>0.66151470234667342</v>
      </c>
    </row>
    <row r="15" spans="1:3" x14ac:dyDescent="0.3">
      <c r="A15" t="s">
        <v>11</v>
      </c>
      <c r="B15" t="s">
        <v>16</v>
      </c>
      <c r="C15">
        <v>0.64213723545009382</v>
      </c>
    </row>
    <row r="16" spans="1:3" x14ac:dyDescent="0.3">
      <c r="A16" t="s">
        <v>11</v>
      </c>
      <c r="B16" t="s">
        <v>17</v>
      </c>
      <c r="C16">
        <v>0.63266343444226769</v>
      </c>
    </row>
    <row r="17" spans="1:3" x14ac:dyDescent="0.3">
      <c r="A17" t="s">
        <v>11</v>
      </c>
      <c r="B17" t="s">
        <v>18</v>
      </c>
      <c r="C17">
        <v>0.48258253573323701</v>
      </c>
    </row>
    <row r="18" spans="1:3" x14ac:dyDescent="0.3">
      <c r="A18" t="s">
        <v>11</v>
      </c>
      <c r="B18" t="s">
        <v>19</v>
      </c>
      <c r="C18">
        <v>0.70953709119942554</v>
      </c>
    </row>
    <row r="19" spans="1:3" x14ac:dyDescent="0.3">
      <c r="A19" t="s">
        <v>12</v>
      </c>
      <c r="B19" t="s">
        <v>13</v>
      </c>
      <c r="C19">
        <v>3.3186505211623941E-6</v>
      </c>
    </row>
    <row r="20" spans="1:3" x14ac:dyDescent="0.3">
      <c r="A20" t="s">
        <v>12</v>
      </c>
      <c r="B20" t="s">
        <v>14</v>
      </c>
      <c r="C20">
        <v>0.48050174655672012</v>
      </c>
    </row>
    <row r="21" spans="1:3" x14ac:dyDescent="0.3">
      <c r="A21" t="s">
        <v>12</v>
      </c>
      <c r="B21" t="s">
        <v>15</v>
      </c>
      <c r="C21">
        <v>0.62116417527010681</v>
      </c>
    </row>
    <row r="22" spans="1:3" x14ac:dyDescent="0.3">
      <c r="A22" t="s">
        <v>12</v>
      </c>
      <c r="B22" t="s">
        <v>16</v>
      </c>
      <c r="C22">
        <v>0.69651333409070049</v>
      </c>
    </row>
    <row r="23" spans="1:3" x14ac:dyDescent="0.3">
      <c r="A23" t="s">
        <v>12</v>
      </c>
      <c r="B23" t="s">
        <v>17</v>
      </c>
      <c r="C23">
        <v>0.58468096217836429</v>
      </c>
    </row>
    <row r="24" spans="1:3" x14ac:dyDescent="0.3">
      <c r="A24" t="s">
        <v>12</v>
      </c>
      <c r="B24" t="s">
        <v>18</v>
      </c>
      <c r="C24">
        <v>0.44184136306951299</v>
      </c>
    </row>
    <row r="25" spans="1:3" x14ac:dyDescent="0.3">
      <c r="A25" t="s">
        <v>12</v>
      </c>
      <c r="B25" t="s">
        <v>19</v>
      </c>
      <c r="C25">
        <v>0.57399477160546231</v>
      </c>
    </row>
    <row r="26" spans="1:3" x14ac:dyDescent="0.3">
      <c r="A26" t="s">
        <v>13</v>
      </c>
      <c r="B26" t="s">
        <v>14</v>
      </c>
      <c r="C26">
        <v>0.4804984291129839</v>
      </c>
    </row>
    <row r="27" spans="1:3" x14ac:dyDescent="0.3">
      <c r="A27" t="s">
        <v>13</v>
      </c>
      <c r="B27" t="s">
        <v>15</v>
      </c>
      <c r="C27">
        <v>0.62116085782637065</v>
      </c>
    </row>
    <row r="28" spans="1:3" x14ac:dyDescent="0.3">
      <c r="A28" t="s">
        <v>13</v>
      </c>
      <c r="B28" t="s">
        <v>16</v>
      </c>
      <c r="C28">
        <v>0.69651000558881848</v>
      </c>
    </row>
    <row r="29" spans="1:3" x14ac:dyDescent="0.3">
      <c r="A29" t="s">
        <v>13</v>
      </c>
      <c r="B29" t="s">
        <v>17</v>
      </c>
      <c r="C29">
        <v>0.58467764473462802</v>
      </c>
    </row>
    <row r="30" spans="1:3" x14ac:dyDescent="0.3">
      <c r="A30" t="s">
        <v>13</v>
      </c>
      <c r="B30" t="s">
        <v>18</v>
      </c>
      <c r="C30">
        <v>0.44183804009670391</v>
      </c>
    </row>
    <row r="31" spans="1:3" x14ac:dyDescent="0.3">
      <c r="A31" t="s">
        <v>13</v>
      </c>
      <c r="B31" t="s">
        <v>19</v>
      </c>
      <c r="C31">
        <v>0.57399145416172614</v>
      </c>
    </row>
    <row r="32" spans="1:3" x14ac:dyDescent="0.3">
      <c r="A32" t="s">
        <v>14</v>
      </c>
      <c r="B32" t="s">
        <v>15</v>
      </c>
      <c r="C32">
        <v>0.50291704928772596</v>
      </c>
    </row>
    <row r="33" spans="1:3" x14ac:dyDescent="0.3">
      <c r="A33" t="s">
        <v>14</v>
      </c>
      <c r="B33" t="s">
        <v>16</v>
      </c>
      <c r="C33">
        <v>0.55598824359865506</v>
      </c>
    </row>
    <row r="34" spans="1:3" x14ac:dyDescent="0.3">
      <c r="A34" t="s">
        <v>14</v>
      </c>
      <c r="B34" t="s">
        <v>17</v>
      </c>
      <c r="C34">
        <v>0.45695070479866251</v>
      </c>
    </row>
    <row r="35" spans="1:3" x14ac:dyDescent="0.3">
      <c r="A35" t="s">
        <v>14</v>
      </c>
      <c r="B35" t="s">
        <v>18</v>
      </c>
      <c r="C35">
        <v>3.8660383487207073E-2</v>
      </c>
    </row>
    <row r="36" spans="1:3" x14ac:dyDescent="0.3">
      <c r="A36" t="s">
        <v>14</v>
      </c>
      <c r="B36" t="s">
        <v>19</v>
      </c>
      <c r="C36">
        <v>0.64062392819909286</v>
      </c>
    </row>
    <row r="37" spans="1:3" x14ac:dyDescent="0.3">
      <c r="A37" t="s">
        <v>15</v>
      </c>
      <c r="B37" t="s">
        <v>16</v>
      </c>
      <c r="C37">
        <v>0.59829174869691359</v>
      </c>
    </row>
    <row r="38" spans="1:3" x14ac:dyDescent="0.3">
      <c r="A38" t="s">
        <v>15</v>
      </c>
      <c r="B38" t="s">
        <v>17</v>
      </c>
      <c r="C38">
        <v>0.6596159615812297</v>
      </c>
    </row>
    <row r="39" spans="1:3" x14ac:dyDescent="0.3">
      <c r="A39" t="s">
        <v>15</v>
      </c>
      <c r="B39" t="s">
        <v>18</v>
      </c>
      <c r="C39">
        <v>0.54141624371286357</v>
      </c>
    </row>
    <row r="40" spans="1:3" x14ac:dyDescent="0.3">
      <c r="A40" t="s">
        <v>15</v>
      </c>
      <c r="B40" t="s">
        <v>19</v>
      </c>
      <c r="C40">
        <v>0.48990842777908711</v>
      </c>
    </row>
    <row r="41" spans="1:3" x14ac:dyDescent="0.3">
      <c r="A41" t="s">
        <v>16</v>
      </c>
      <c r="B41" t="s">
        <v>17</v>
      </c>
      <c r="C41">
        <v>0.70551204777242837</v>
      </c>
    </row>
    <row r="42" spans="1:3" x14ac:dyDescent="0.3">
      <c r="A42" t="s">
        <v>16</v>
      </c>
      <c r="B42" t="s">
        <v>18</v>
      </c>
      <c r="C42">
        <v>0.56905899403561211</v>
      </c>
    </row>
    <row r="43" spans="1:3" x14ac:dyDescent="0.3">
      <c r="A43" t="s">
        <v>16</v>
      </c>
      <c r="B43" t="s">
        <v>19</v>
      </c>
      <c r="C43">
        <v>0.49661474771382241</v>
      </c>
    </row>
    <row r="44" spans="1:3" x14ac:dyDescent="0.3">
      <c r="A44" t="s">
        <v>17</v>
      </c>
      <c r="B44" t="s">
        <v>18</v>
      </c>
      <c r="C44">
        <v>0.47002144417747382</v>
      </c>
    </row>
    <row r="45" spans="1:3" x14ac:dyDescent="0.3">
      <c r="A45" t="s">
        <v>17</v>
      </c>
      <c r="B45" t="s">
        <v>19</v>
      </c>
      <c r="C45">
        <v>0.71424900914037581</v>
      </c>
    </row>
    <row r="46" spans="1:3" x14ac:dyDescent="0.3">
      <c r="A46" t="s">
        <v>18</v>
      </c>
      <c r="B46" t="s">
        <v>19</v>
      </c>
      <c r="C46">
        <v>0.65369467863605002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dist_PVL1</vt:lpstr>
      <vt:lpstr>PVL1_mtx_c</vt:lpstr>
      <vt:lpstr>PVL1_mtx_c_n</vt:lpstr>
      <vt:lpstr>PVL1_mtx_ed</vt:lpstr>
      <vt:lpstr>PVL1_mtx_ed_n</vt:lpstr>
      <vt:lpstr>dist_PVL2</vt:lpstr>
      <vt:lpstr>PVL2_mtx_c</vt:lpstr>
      <vt:lpstr>PVL2_mtx_c_n</vt:lpstr>
      <vt:lpstr>PVL2_mtx_ed</vt:lpstr>
      <vt:lpstr>PVL2_mtx_ed_n</vt:lpstr>
      <vt:lpstr>dist_PVL3</vt:lpstr>
      <vt:lpstr>PVL3_mtx_c </vt:lpstr>
      <vt:lpstr>PVL3_mtx_c_n</vt:lpstr>
      <vt:lpstr>PVL3_mtx_ed</vt:lpstr>
      <vt:lpstr>PVL3_mtx_ed_n</vt:lpstr>
      <vt:lpstr>dist_PVL4</vt:lpstr>
      <vt:lpstr>PVL4_mtx_c</vt:lpstr>
      <vt:lpstr>PVL4_mtx_c_n</vt:lpstr>
      <vt:lpstr>PVL4_mtx_ed</vt:lpstr>
      <vt:lpstr>PVL4_mtx_ed_n</vt:lpstr>
      <vt:lpstr>dist_PVL5</vt:lpstr>
      <vt:lpstr>PVL5_mtx_c</vt:lpstr>
      <vt:lpstr>PVL5_mtx_c_n</vt:lpstr>
      <vt:lpstr>PVL5_mtx_ed</vt:lpstr>
      <vt:lpstr>PVL5_mtx_ed_n</vt:lpstr>
      <vt:lpstr>ids</vt:lpstr>
      <vt:lpstr>procrustes_PVL1</vt:lpstr>
      <vt:lpstr>procrustes_PLV2</vt:lpstr>
      <vt:lpstr>procrustes_PLV3</vt:lpstr>
      <vt:lpstr>procrustes_PLV4</vt:lpstr>
      <vt:lpstr>procrustes_PLV5</vt:lpstr>
      <vt:lpstr>embed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Esdras Paravizo</dc:creator>
  <cp:lastModifiedBy>Esdras Paravizo</cp:lastModifiedBy>
  <dcterms:created xsi:type="dcterms:W3CDTF">2023-11-27T15:48:31Z</dcterms:created>
  <dcterms:modified xsi:type="dcterms:W3CDTF">2023-12-19T21:17:36Z</dcterms:modified>
</cp:coreProperties>
</file>